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16_Invoice\"/>
    </mc:Choice>
  </mc:AlternateContent>
  <xr:revisionPtr revIDLastSave="0" documentId="13_ncr:1_{46757B2E-7E46-403A-8206-41517EA881DE}" xr6:coauthVersionLast="47" xr6:coauthVersionMax="47" xr10:uidLastSave="{00000000-0000-0000-0000-000000000000}"/>
  <bookViews>
    <workbookView xWindow="22932" yWindow="-108" windowWidth="23256" windowHeight="12456" activeTab="1" xr2:uid="{973A27A5-2CBB-4D27-B29A-F9A9B7185614}"/>
  </bookViews>
  <sheets>
    <sheet name="匯總" sheetId="6" r:id="rId1"/>
    <sheet name="交易A" sheetId="1" r:id="rId2"/>
    <sheet name="交易B" sheetId="2" r:id="rId3"/>
    <sheet name="交易C" sheetId="3" r:id="rId4"/>
    <sheet name="交易D" sheetId="4" r:id="rId5"/>
    <sheet name="交易E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5" l="1"/>
  <c r="F9" i="5"/>
  <c r="E8" i="5"/>
  <c r="F8" i="5" s="1"/>
  <c r="E7" i="5"/>
  <c r="F7" i="5" s="1"/>
  <c r="E6" i="5"/>
  <c r="F6" i="5" s="1"/>
  <c r="F10" i="4"/>
  <c r="E10" i="4"/>
  <c r="F9" i="4"/>
  <c r="E9" i="4"/>
  <c r="E8" i="4"/>
  <c r="E7" i="4"/>
  <c r="F7" i="4" s="1"/>
  <c r="E6" i="4"/>
  <c r="F6" i="4" s="1"/>
  <c r="F10" i="3"/>
  <c r="E10" i="3"/>
  <c r="F9" i="3"/>
  <c r="E8" i="3"/>
  <c r="F8" i="3" s="1"/>
  <c r="E7" i="3"/>
  <c r="F7" i="3" s="1"/>
  <c r="E6" i="3"/>
  <c r="F6" i="3" s="1"/>
  <c r="F10" i="2"/>
  <c r="E10" i="2"/>
  <c r="F9" i="2"/>
  <c r="E9" i="2"/>
  <c r="F8" i="2"/>
  <c r="E8" i="2"/>
  <c r="E7" i="2"/>
  <c r="F7" i="2" s="1"/>
  <c r="E6" i="2"/>
  <c r="F6" i="2" s="1"/>
  <c r="E7" i="1"/>
  <c r="F7" i="1" s="1"/>
  <c r="E8" i="1"/>
  <c r="F8" i="1" s="1"/>
  <c r="E9" i="1"/>
  <c r="E10" i="1"/>
  <c r="E6" i="1"/>
  <c r="F6" i="1" s="1"/>
  <c r="F9" i="1"/>
  <c r="F10" i="1"/>
  <c r="F11" i="3" l="1"/>
  <c r="F13" i="3" s="1"/>
  <c r="F14" i="3" s="1"/>
  <c r="F11" i="5"/>
  <c r="F13" i="5" s="1"/>
  <c r="F14" i="5" s="1"/>
  <c r="F11" i="4"/>
  <c r="F13" i="4" s="1"/>
  <c r="F14" i="4" s="1"/>
  <c r="F11" i="2"/>
  <c r="F13" i="2" s="1"/>
  <c r="F14" i="2" s="1"/>
  <c r="F11" i="1"/>
  <c r="F13" i="1" l="1"/>
  <c r="F14" i="1" s="1"/>
</calcChain>
</file>

<file path=xl/sharedStrings.xml><?xml version="1.0" encoding="utf-8"?>
<sst xmlns="http://schemas.openxmlformats.org/spreadsheetml/2006/main" count="203" uniqueCount="54">
  <si>
    <t>NO.</t>
    <phoneticPr fontId="3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</si>
  <si>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</si>
  <si>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</si>
  <si>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小計</t>
    <rPh sb="0" eb="2">
      <t>ショウケイ</t>
    </rPh>
    <phoneticPr fontId="3"/>
  </si>
  <si>
    <t>C-101</t>
    <phoneticPr fontId="2"/>
  </si>
  <si>
    <t>税率</t>
    <rPh sb="0" eb="2">
      <t>ゼイリツ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</si>
  <si>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</si>
  <si>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</si>
  <si>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</si>
  <si>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商品</t>
    <rPh sb="0" eb="2">
      <t>ショウヒン</t>
    </rPh>
    <phoneticPr fontId="2"/>
  </si>
  <si>
    <t>C-102</t>
    <phoneticPr fontId="2"/>
  </si>
  <si>
    <t>C-103</t>
    <phoneticPr fontId="2"/>
  </si>
  <si>
    <t>C-104</t>
    <phoneticPr fontId="2"/>
  </si>
  <si>
    <t>C-105</t>
    <phoneticPr fontId="2"/>
  </si>
  <si>
    <t>ID</t>
    <phoneticPr fontId="2"/>
  </si>
  <si>
    <t>NO.</t>
    <rPh sb="0" eb="2">
      <t>エダバン</t>
    </rPh>
    <phoneticPr fontId="2"/>
  </si>
  <si>
    <t>供應商</t>
    <rPh sb="0" eb="2">
      <t>トリヒキ</t>
    </rPh>
    <rPh sb="2" eb="3">
      <t>サキ</t>
    </rPh>
    <phoneticPr fontId="2"/>
  </si>
  <si>
    <t>日期</t>
    <rPh sb="0" eb="2">
      <t>ヒヅケ</t>
    </rPh>
    <phoneticPr fontId="2"/>
  </si>
  <si>
    <t>品項</t>
    <rPh sb="0" eb="2">
      <t>ヒンモク</t>
    </rPh>
    <phoneticPr fontId="2"/>
  </si>
  <si>
    <t>數量</t>
    <rPh sb="0" eb="2">
      <t>スウリョウ</t>
    </rPh>
    <phoneticPr fontId="3"/>
  </si>
  <si>
    <t>單價</t>
    <rPh sb="0" eb="2">
      <t>タンカ</t>
    </rPh>
    <phoneticPr fontId="3"/>
  </si>
  <si>
    <t>供應商</t>
    <phoneticPr fontId="2"/>
  </si>
  <si>
    <t>供應商A</t>
    <phoneticPr fontId="2"/>
  </si>
  <si>
    <t>供應商C</t>
    <phoneticPr fontId="2"/>
  </si>
  <si>
    <t>供應商B</t>
    <phoneticPr fontId="2"/>
  </si>
  <si>
    <t>單價</t>
    <rPh sb="0" eb="2">
      <t>タンカ</t>
    </rPh>
    <phoneticPr fontId="2"/>
  </si>
  <si>
    <t>總計</t>
    <rPh sb="0" eb="2">
      <t>シュウケイ</t>
    </rPh>
    <phoneticPr fontId="2"/>
  </si>
  <si>
    <t>負責者</t>
    <rPh sb="0" eb="2">
      <t>タントウ</t>
    </rPh>
    <phoneticPr fontId="2"/>
  </si>
  <si>
    <t>負責者A</t>
    <rPh sb="0" eb="3">
      <t>タントウシャ</t>
    </rPh>
    <phoneticPr fontId="2"/>
  </si>
  <si>
    <t>手寫商品D</t>
    <rPh sb="0" eb="2">
      <t>テガ</t>
    </rPh>
    <rPh sb="3" eb="5">
      <t>ショウヒン</t>
    </rPh>
    <phoneticPr fontId="2"/>
  </si>
  <si>
    <t>折扣</t>
    <rPh sb="0" eb="2">
      <t>ネビ</t>
    </rPh>
    <phoneticPr fontId="2"/>
  </si>
  <si>
    <t>整批</t>
    <rPh sb="0" eb="2">
      <t>イッシキ</t>
    </rPh>
    <phoneticPr fontId="2"/>
  </si>
  <si>
    <t>手寫商品E</t>
    <rPh sb="0" eb="2">
      <t>テガ</t>
    </rPh>
    <rPh sb="3" eb="5">
      <t>ショウヒン</t>
    </rPh>
    <phoneticPr fontId="2"/>
  </si>
  <si>
    <t>手寫商品F</t>
    <rPh sb="0" eb="2">
      <t>テガ</t>
    </rPh>
    <rPh sb="3" eb="5">
      <t>ショウヒン</t>
    </rPh>
    <phoneticPr fontId="2"/>
  </si>
  <si>
    <t>單據ID</t>
    <rPh sb="0" eb="2">
      <t>デンピョウ</t>
    </rPh>
    <phoneticPr fontId="2"/>
  </si>
  <si>
    <t>※折扣價</t>
    <rPh sb="1" eb="3">
      <t>ワリビキテキヨウ</t>
    </rPh>
    <phoneticPr fontId="2"/>
  </si>
  <si>
    <t>負責者B</t>
    <rPh sb="0" eb="3">
      <t>タントウシャ</t>
    </rPh>
    <phoneticPr fontId="2"/>
  </si>
  <si>
    <t>C-101</t>
  </si>
  <si>
    <t>供應商A</t>
  </si>
  <si>
    <t>負責者A</t>
  </si>
  <si>
    <t>商品A</t>
  </si>
  <si>
    <t>商品B</t>
  </si>
  <si>
    <t>商品C</t>
  </si>
  <si>
    <t>C-102</t>
  </si>
  <si>
    <t>C-103</t>
  </si>
  <si>
    <t>供應商B</t>
  </si>
  <si>
    <t>負責者B</t>
  </si>
  <si>
    <t>手寫商品D</t>
  </si>
  <si>
    <t>C-104</t>
  </si>
  <si>
    <t>折扣</t>
  </si>
  <si>
    <t>C-105</t>
  </si>
  <si>
    <t>供應商C</t>
  </si>
  <si>
    <t>手寫商品E</t>
  </si>
  <si>
    <t>手寫商品F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</si>
</sst>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微軟正黑體"/>
      <family val="2"/>
      <charset val="136"/>
    </font>
    <font>
      <sz val="10"/>
      <color theme="4"/>
      <name val="微軟正黑體"/>
      <family val="2"/>
      <charset val="136"/>
    </font>
    <font>
      <b/>
      <sz val="10"/>
      <color theme="4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9" fontId="0" fillId="0" borderId="2" xfId="2" applyFont="1" applyBorder="1">
      <alignment vertical="center"/>
    </xf>
    <xf numFmtId="14" fontId="0" fillId="0" borderId="0" xfId="0" applyNumberFormat="1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left" vertical="center" indent="1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38" fontId="0" fillId="0" borderId="2" xfId="1" applyFont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left" vertical="center" indent="1"/>
    </xf>
    <xf numFmtId="38" fontId="0" fillId="2" borderId="1" xfId="1" applyFont="1" applyFill="1" applyBorder="1" applyAlignment="1">
      <alignment horizontal="right" vertical="center"/>
    </xf>
    <xf numFmtId="14" fontId="0" fillId="2" borderId="1" xfId="0" applyNumberFormat="1" applyFill="1" applyBorder="1" applyAlignment="1">
      <alignment horizontal="right" vertical="center"/>
    </xf>
    <xf numFmtId="0" fontId="0" fillId="0" borderId="2" xfId="0" applyBorder="1" applyAlignment="1">
      <alignment horizontal="left" vertical="center" indent="1"/>
    </xf>
    <xf numFmtId="0" fontId="0" fillId="2" borderId="2" xfId="0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0" fontId="0" fillId="0" borderId="3" xfId="0" applyBorder="1">
      <alignment vertical="center"/>
    </xf>
    <xf numFmtId="0" fontId="0" fillId="2" borderId="3" xfId="0" applyFill="1" applyBorder="1">
      <alignment vertical="center"/>
    </xf>
    <xf numFmtId="14" fontId="0" fillId="0" borderId="3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0" borderId="3" xfId="0" applyNumberFormat="1" applyFont="1" applyBorder="1">
      <alignment vertical="center"/>
    </xf>
    <xf numFmtId="38" fontId="0" fillId="0" borderId="3" xfId="1" applyFont="1" applyBorder="1">
      <alignment vertical="center"/>
    </xf>
    <xf numFmtId="0" fontId="4" fillId="0" borderId="2" xfId="0" applyFont="1" applyBorder="1" applyAlignment="1">
      <alignment horizontal="right" vertical="center"/>
    </xf>
    <xf numFmtId="49" fontId="4" fillId="0" borderId="2" xfId="0" applyNumberFormat="1" applyFont="1" applyBorder="1" applyAlignment="1">
      <alignment horizontal="left" vertical="center" shrinkToFit="1"/>
    </xf>
    <xf numFmtId="0" fontId="4" fillId="0" borderId="2" xfId="0" applyFont="1" applyBorder="1">
      <alignment vertical="center"/>
    </xf>
    <xf numFmtId="38" fontId="5" fillId="0" borderId="2" xfId="1" applyFont="1" applyBorder="1" applyAlignment="1">
      <alignment vertical="center"/>
    </xf>
    <xf numFmtId="38" fontId="5" fillId="0" borderId="2" xfId="1" applyFont="1" applyBorder="1">
      <alignment vertical="center"/>
    </xf>
    <xf numFmtId="0" fontId="4" fillId="0" borderId="3" xfId="0" applyFont="1" applyBorder="1" applyAlignment="1">
      <alignment horizontal="right" vertical="center"/>
    </xf>
    <xf numFmtId="49" fontId="4" fillId="0" borderId="3" xfId="0" applyNumberFormat="1" applyFont="1" applyBorder="1" applyAlignment="1">
      <alignment horizontal="left" vertical="center" shrinkToFit="1"/>
    </xf>
    <xf numFmtId="0" fontId="4" fillId="0" borderId="3" xfId="0" applyFont="1" applyBorder="1">
      <alignment vertical="center"/>
    </xf>
    <xf numFmtId="38" fontId="5" fillId="0" borderId="3" xfId="1" applyFont="1" applyBorder="1">
      <alignment vertical="center"/>
    </xf>
    <xf numFmtId="38" fontId="5" fillId="0" borderId="1" xfId="1" applyFont="1" applyBorder="1">
      <alignment vertical="center"/>
    </xf>
    <xf numFmtId="38" fontId="6" fillId="0" borderId="3" xfId="1" applyFont="1" applyBorder="1">
      <alignment vertical="center"/>
    </xf>
  </cellXfs>
  <cellStyles count="3">
    <cellStyle name="一般" xfId="0" builtinId="0" customBuiltin="1"/>
    <cellStyle name="千分位[0]" xfId="1" builtinId="6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BD142-621C-47E9-8CA8-DC9FC924CAB6}">
  <sheetPr codeName="Sheet1"/>
  <dimension ref="B1:K100"/>
  <sheetViews>
    <sheetView showGridLines="0" workbookViewId="0">
      <selection activeCell="M6" sqref="M6"/>
    </sheetView>
  </sheetViews>
  <sheetFormatPr defaultRowHeight="13.8"/>
  <cols>
    <col min="1" max="1" width="2.19921875" customWidth="1"/>
    <col min="2" max="2" width="4.5" customWidth="1"/>
    <col min="3" max="3" width="6.5" customWidth="1"/>
    <col min="4" max="4" width="5.5" customWidth="1"/>
    <col min="5" max="5" width="10.5" customWidth="1"/>
    <col min="6" max="6" width="11.59765625" style="2" customWidth="1"/>
    <col min="7" max="7" width="10.5" customWidth="1"/>
    <col min="8" max="8" width="12.5" style="4" customWidth="1"/>
    <col min="9" max="9" width="5.5" customWidth="1"/>
    <col min="10" max="11" width="8.59765625" style="3" customWidth="1"/>
  </cols>
  <sheetData>
    <row r="1" spans="2:11" ht="14.4" thickBot="1"/>
    <row r="2" spans="2:11">
      <c r="B2" s="8" t="s">
        <v>14</v>
      </c>
      <c r="C2" s="9" t="s">
        <v>34</v>
      </c>
      <c r="D2" s="8" t="s">
        <v>15</v>
      </c>
      <c r="E2" s="9" t="s">
        <v>16</v>
      </c>
      <c r="F2" s="9" t="s">
        <v>27</v>
      </c>
      <c r="G2" s="12" t="s">
        <v>17</v>
      </c>
      <c r="H2" s="10" t="s">
        <v>18</v>
      </c>
      <c r="I2" s="8" t="s">
        <v>19</v>
      </c>
      <c r="J2" s="11" t="s">
        <v>20</v>
      </c>
      <c r="K2" s="11" t="s">
        <v>3</v>
      </c>
    </row>
    <row r="3" spans="2:11">
      <c r="B3" s="5">
        <v>1</v>
      </c>
      <c r="C3" s="5" t="s">
        <v>37</v>
      </c>
      <c r="D3" s="5">
        <v>1</v>
      </c>
      <c r="E3" s="5" t="s">
        <v>38</v>
      </c>
      <c r="F3" s="6" t="s">
        <v>39</v>
      </c>
      <c r="G3" s="6">
        <v>43881</v>
      </c>
      <c r="H3" s="13" t="s">
        <v>40</v>
      </c>
      <c r="I3" s="5">
        <v>3</v>
      </c>
      <c r="J3" s="7">
        <v>2800</v>
      </c>
      <c r="K3" s="7">
        <v>8400</v>
      </c>
    </row>
    <row r="4" spans="2:11">
      <c r="B4" s="5">
        <v>2</v>
      </c>
      <c r="C4" s="5" t="s">
        <v>37</v>
      </c>
      <c r="D4" s="5">
        <v>2</v>
      </c>
      <c r="E4" s="5" t="s">
        <v>38</v>
      </c>
      <c r="F4" s="6" t="s">
        <v>39</v>
      </c>
      <c r="G4" s="6">
        <v>43881</v>
      </c>
      <c r="H4" s="13" t="s">
        <v>41</v>
      </c>
      <c r="I4" s="5">
        <v>10</v>
      </c>
      <c r="J4" s="7">
        <v>3400</v>
      </c>
      <c r="K4" s="7">
        <v>34000</v>
      </c>
    </row>
    <row r="5" spans="2:11">
      <c r="B5" s="5">
        <v>3</v>
      </c>
      <c r="C5" s="5" t="s">
        <v>37</v>
      </c>
      <c r="D5" s="5">
        <v>3</v>
      </c>
      <c r="E5" s="5" t="s">
        <v>38</v>
      </c>
      <c r="F5" s="6" t="s">
        <v>39</v>
      </c>
      <c r="G5" s="6">
        <v>43881</v>
      </c>
      <c r="H5" s="13" t="s">
        <v>42</v>
      </c>
      <c r="I5" s="5">
        <v>6</v>
      </c>
      <c r="J5" s="7">
        <v>4100</v>
      </c>
      <c r="K5" s="7">
        <v>24600</v>
      </c>
    </row>
    <row r="6" spans="2:11">
      <c r="B6" s="5">
        <v>4</v>
      </c>
      <c r="C6" s="5" t="s">
        <v>43</v>
      </c>
      <c r="D6" s="5">
        <v>1</v>
      </c>
      <c r="E6" s="5" t="s">
        <v>38</v>
      </c>
      <c r="F6" s="6" t="s">
        <v>39</v>
      </c>
      <c r="G6" s="6">
        <v>43883</v>
      </c>
      <c r="H6" s="13" t="s">
        <v>40</v>
      </c>
      <c r="I6" s="5">
        <v>18</v>
      </c>
      <c r="J6" s="7">
        <v>2800</v>
      </c>
      <c r="K6" s="7">
        <v>50400</v>
      </c>
    </row>
    <row r="7" spans="2:11">
      <c r="B7" s="5">
        <v>5</v>
      </c>
      <c r="C7" s="5" t="s">
        <v>43</v>
      </c>
      <c r="D7" s="5">
        <v>2</v>
      </c>
      <c r="E7" s="5" t="s">
        <v>38</v>
      </c>
      <c r="F7" s="6" t="s">
        <v>39</v>
      </c>
      <c r="G7" s="6">
        <v>43883</v>
      </c>
      <c r="H7" s="13" t="s">
        <v>41</v>
      </c>
      <c r="I7" s="5">
        <v>22</v>
      </c>
      <c r="J7" s="7">
        <v>3400</v>
      </c>
      <c r="K7" s="7">
        <v>74800</v>
      </c>
    </row>
    <row r="8" spans="2:11">
      <c r="B8" s="5">
        <v>6</v>
      </c>
      <c r="C8" s="5" t="s">
        <v>44</v>
      </c>
      <c r="D8" s="5">
        <v>1</v>
      </c>
      <c r="E8" s="5" t="s">
        <v>45</v>
      </c>
      <c r="F8" s="6" t="s">
        <v>46</v>
      </c>
      <c r="G8" s="6">
        <v>43882</v>
      </c>
      <c r="H8" s="13" t="s">
        <v>40</v>
      </c>
      <c r="I8" s="5">
        <v>12</v>
      </c>
      <c r="J8" s="7">
        <v>2500</v>
      </c>
      <c r="K8" s="7">
        <v>30000</v>
      </c>
    </row>
    <row r="9" spans="2:11">
      <c r="B9" s="5">
        <v>7</v>
      </c>
      <c r="C9" s="5" t="s">
        <v>44</v>
      </c>
      <c r="D9" s="5">
        <v>2</v>
      </c>
      <c r="E9" s="5" t="s">
        <v>45</v>
      </c>
      <c r="F9" s="6" t="s">
        <v>46</v>
      </c>
      <c r="G9" s="6">
        <v>43882</v>
      </c>
      <c r="H9" s="13" t="s">
        <v>41</v>
      </c>
      <c r="I9" s="5">
        <v>5</v>
      </c>
      <c r="J9" s="7">
        <v>3000</v>
      </c>
      <c r="K9" s="7">
        <v>15000</v>
      </c>
    </row>
    <row r="10" spans="2:11">
      <c r="B10" s="5">
        <v>8</v>
      </c>
      <c r="C10" s="5" t="s">
        <v>44</v>
      </c>
      <c r="D10" s="5">
        <v>3</v>
      </c>
      <c r="E10" s="5" t="s">
        <v>45</v>
      </c>
      <c r="F10" s="6" t="s">
        <v>46</v>
      </c>
      <c r="G10" s="6">
        <v>43882</v>
      </c>
      <c r="H10" s="13" t="s">
        <v>42</v>
      </c>
      <c r="I10" s="5">
        <v>40</v>
      </c>
      <c r="J10" s="7">
        <v>4000</v>
      </c>
      <c r="K10" s="7">
        <v>160000</v>
      </c>
    </row>
    <row r="11" spans="2:11">
      <c r="B11" s="5">
        <v>9</v>
      </c>
      <c r="C11" s="5" t="s">
        <v>44</v>
      </c>
      <c r="D11" s="5">
        <v>4</v>
      </c>
      <c r="E11" s="5" t="s">
        <v>45</v>
      </c>
      <c r="F11" s="6" t="s">
        <v>46</v>
      </c>
      <c r="G11" s="6">
        <v>43882</v>
      </c>
      <c r="H11" s="13" t="s">
        <v>47</v>
      </c>
      <c r="I11" s="5">
        <v>20</v>
      </c>
      <c r="J11" s="7">
        <v>1600</v>
      </c>
      <c r="K11" s="7">
        <v>32000</v>
      </c>
    </row>
    <row r="12" spans="2:11">
      <c r="B12" s="5">
        <v>10</v>
      </c>
      <c r="C12" s="5" t="s">
        <v>48</v>
      </c>
      <c r="D12" s="5">
        <v>1</v>
      </c>
      <c r="E12" s="5" t="s">
        <v>45</v>
      </c>
      <c r="F12" s="6" t="s">
        <v>46</v>
      </c>
      <c r="G12" s="6">
        <v>43884</v>
      </c>
      <c r="H12" s="13" t="s">
        <v>41</v>
      </c>
      <c r="I12" s="5">
        <v>28</v>
      </c>
      <c r="J12" s="7">
        <v>3000</v>
      </c>
      <c r="K12" s="7">
        <v>84000</v>
      </c>
    </row>
    <row r="13" spans="2:11">
      <c r="B13" s="5">
        <v>11</v>
      </c>
      <c r="C13" s="5" t="s">
        <v>48</v>
      </c>
      <c r="D13" s="5">
        <v>2</v>
      </c>
      <c r="E13" s="5" t="s">
        <v>45</v>
      </c>
      <c r="F13" s="6" t="s">
        <v>46</v>
      </c>
      <c r="G13" s="6">
        <v>43884</v>
      </c>
      <c r="H13" s="13" t="s">
        <v>42</v>
      </c>
      <c r="I13" s="5">
        <v>19</v>
      </c>
      <c r="J13" s="7">
        <v>4000</v>
      </c>
      <c r="K13" s="7">
        <v>76000</v>
      </c>
    </row>
    <row r="14" spans="2:11">
      <c r="B14" s="5">
        <v>12</v>
      </c>
      <c r="C14" s="5" t="s">
        <v>48</v>
      </c>
      <c r="D14" s="5">
        <v>3</v>
      </c>
      <c r="E14" s="5" t="s">
        <v>45</v>
      </c>
      <c r="F14" s="6" t="s">
        <v>46</v>
      </c>
      <c r="G14" s="6">
        <v>43884</v>
      </c>
      <c r="H14" s="13" t="s">
        <v>49</v>
      </c>
      <c r="I14" s="5">
        <v>0</v>
      </c>
      <c r="J14" s="7">
        <v>0</v>
      </c>
      <c r="K14" s="7">
        <v>-3000</v>
      </c>
    </row>
    <row r="15" spans="2:11">
      <c r="B15" s="5">
        <v>13</v>
      </c>
      <c r="C15" s="5" t="s">
        <v>50</v>
      </c>
      <c r="D15" s="5">
        <v>1</v>
      </c>
      <c r="E15" s="5" t="s">
        <v>51</v>
      </c>
      <c r="F15" s="6" t="s">
        <v>39</v>
      </c>
      <c r="G15" s="6">
        <v>43886</v>
      </c>
      <c r="H15" s="13" t="s">
        <v>40</v>
      </c>
      <c r="I15" s="5">
        <v>8</v>
      </c>
      <c r="J15" s="7">
        <v>2800</v>
      </c>
      <c r="K15" s="7">
        <v>22400</v>
      </c>
    </row>
    <row r="16" spans="2:11">
      <c r="B16" s="5">
        <v>14</v>
      </c>
      <c r="C16" s="5" t="s">
        <v>50</v>
      </c>
      <c r="D16" s="5">
        <v>2</v>
      </c>
      <c r="E16" s="5" t="s">
        <v>51</v>
      </c>
      <c r="F16" s="6" t="s">
        <v>39</v>
      </c>
      <c r="G16" s="6">
        <v>43886</v>
      </c>
      <c r="H16" s="13" t="s">
        <v>41</v>
      </c>
      <c r="I16" s="5">
        <v>12</v>
      </c>
      <c r="J16" s="7">
        <v>3400</v>
      </c>
      <c r="K16" s="7">
        <v>40800</v>
      </c>
    </row>
    <row r="17" spans="2:11">
      <c r="B17" s="5">
        <v>15</v>
      </c>
      <c r="C17" s="5" t="s">
        <v>50</v>
      </c>
      <c r="D17" s="5">
        <v>3</v>
      </c>
      <c r="E17" s="5" t="s">
        <v>51</v>
      </c>
      <c r="F17" s="6" t="s">
        <v>39</v>
      </c>
      <c r="G17" s="6">
        <v>43886</v>
      </c>
      <c r="H17" s="13" t="s">
        <v>42</v>
      </c>
      <c r="I17" s="5">
        <v>16</v>
      </c>
      <c r="J17" s="7">
        <v>4100</v>
      </c>
      <c r="K17" s="7">
        <v>65600</v>
      </c>
    </row>
    <row r="18" spans="2:11">
      <c r="B18" s="5">
        <v>16</v>
      </c>
      <c r="C18" s="5" t="s">
        <v>50</v>
      </c>
      <c r="D18" s="5">
        <v>4</v>
      </c>
      <c r="E18" s="5" t="s">
        <v>51</v>
      </c>
      <c r="F18" s="6" t="s">
        <v>39</v>
      </c>
      <c r="G18" s="6">
        <v>43886</v>
      </c>
      <c r="H18" s="13" t="s">
        <v>52</v>
      </c>
      <c r="I18" s="5">
        <v>1</v>
      </c>
      <c r="J18" s="7">
        <v>30000</v>
      </c>
      <c r="K18" s="7">
        <v>30000</v>
      </c>
    </row>
    <row r="19" spans="2:11">
      <c r="B19" s="5">
        <v>17</v>
      </c>
      <c r="C19" s="5" t="s">
        <v>50</v>
      </c>
      <c r="D19" s="5">
        <v>5</v>
      </c>
      <c r="E19" s="5" t="s">
        <v>51</v>
      </c>
      <c r="F19" s="6" t="s">
        <v>39</v>
      </c>
      <c r="G19" s="6">
        <v>43886</v>
      </c>
      <c r="H19" s="13" t="s">
        <v>53</v>
      </c>
      <c r="I19" s="5">
        <v>5</v>
      </c>
      <c r="J19" s="7">
        <v>1500</v>
      </c>
      <c r="K19" s="7">
        <v>7500</v>
      </c>
    </row>
    <row r="20" spans="2:11">
      <c r="B20" s="5"/>
      <c r="C20" s="5"/>
      <c r="D20" s="5"/>
      <c r="E20" s="5"/>
      <c r="F20" s="6"/>
      <c r="G20" s="5"/>
      <c r="H20" s="13"/>
      <c r="I20" s="5"/>
      <c r="J20" s="7"/>
      <c r="K20" s="7"/>
    </row>
    <row r="21" spans="2:11">
      <c r="B21" s="5"/>
      <c r="C21" s="5"/>
      <c r="D21" s="5"/>
      <c r="E21" s="5"/>
      <c r="F21" s="6"/>
      <c r="G21" s="5"/>
      <c r="H21" s="13"/>
      <c r="I21" s="5"/>
      <c r="J21" s="7"/>
      <c r="K21" s="7"/>
    </row>
    <row r="22" spans="2:11">
      <c r="B22" s="5"/>
      <c r="C22" s="5"/>
      <c r="D22" s="5"/>
      <c r="E22" s="5"/>
      <c r="F22" s="6"/>
      <c r="G22" s="5"/>
      <c r="H22" s="13"/>
      <c r="I22" s="5"/>
      <c r="J22" s="7"/>
      <c r="K22" s="7"/>
    </row>
    <row r="23" spans="2:11">
      <c r="B23" s="5"/>
      <c r="C23" s="5"/>
      <c r="D23" s="5"/>
      <c r="E23" s="5"/>
      <c r="F23" s="6"/>
      <c r="G23" s="5"/>
      <c r="H23" s="13"/>
      <c r="I23" s="5"/>
      <c r="J23" s="7"/>
      <c r="K23" s="7"/>
    </row>
    <row r="24" spans="2:11">
      <c r="B24" s="5"/>
      <c r="C24" s="5"/>
      <c r="D24" s="5"/>
      <c r="E24" s="5"/>
      <c r="F24" s="6"/>
      <c r="G24" s="5"/>
      <c r="H24" s="13"/>
      <c r="I24" s="5"/>
      <c r="J24" s="7"/>
      <c r="K24" s="7"/>
    </row>
    <row r="25" spans="2:11">
      <c r="B25" s="5"/>
      <c r="C25" s="5"/>
      <c r="D25" s="5"/>
      <c r="E25" s="5"/>
      <c r="F25" s="6"/>
      <c r="G25" s="5"/>
      <c r="H25" s="13"/>
      <c r="I25" s="5"/>
      <c r="J25" s="7"/>
      <c r="K25" s="7"/>
    </row>
    <row r="26" spans="2:11">
      <c r="B26" s="5"/>
      <c r="C26" s="5"/>
      <c r="D26" s="5"/>
      <c r="E26" s="5"/>
      <c r="F26" s="6"/>
      <c r="G26" s="5"/>
      <c r="H26" s="13"/>
      <c r="I26" s="5"/>
      <c r="J26" s="7"/>
      <c r="K26" s="7"/>
    </row>
    <row r="27" spans="2:11">
      <c r="B27" s="5"/>
      <c r="C27" s="5"/>
      <c r="D27" s="5"/>
      <c r="E27" s="5"/>
      <c r="F27" s="6"/>
      <c r="G27" s="5"/>
      <c r="H27" s="13"/>
      <c r="I27" s="5"/>
      <c r="J27" s="7"/>
      <c r="K27" s="7"/>
    </row>
    <row r="28" spans="2:11">
      <c r="B28" s="5"/>
      <c r="C28" s="5"/>
      <c r="D28" s="5"/>
      <c r="E28" s="5"/>
      <c r="F28" s="6"/>
      <c r="G28" s="5"/>
      <c r="H28" s="13"/>
      <c r="I28" s="5"/>
      <c r="J28" s="7"/>
      <c r="K28" s="7"/>
    </row>
    <row r="29" spans="2:11">
      <c r="B29" s="5"/>
      <c r="C29" s="5"/>
      <c r="D29" s="5"/>
      <c r="E29" s="5"/>
      <c r="F29" s="6"/>
      <c r="G29" s="5"/>
      <c r="H29" s="13"/>
      <c r="I29" s="5"/>
      <c r="J29" s="7"/>
      <c r="K29" s="7"/>
    </row>
    <row r="30" spans="2:11">
      <c r="B30" s="5"/>
      <c r="C30" s="5"/>
      <c r="D30" s="5"/>
      <c r="E30" s="5"/>
      <c r="F30" s="6"/>
      <c r="G30" s="5"/>
      <c r="H30" s="13"/>
      <c r="I30" s="5"/>
      <c r="J30" s="7"/>
      <c r="K30" s="7"/>
    </row>
    <row r="31" spans="2:11">
      <c r="B31" s="5"/>
      <c r="C31" s="5"/>
      <c r="D31" s="5"/>
      <c r="E31" s="5"/>
      <c r="F31" s="6"/>
      <c r="G31" s="5"/>
      <c r="H31" s="13"/>
      <c r="I31" s="5"/>
      <c r="J31" s="7"/>
      <c r="K31" s="7"/>
    </row>
    <row r="32" spans="2:11">
      <c r="B32" s="5"/>
      <c r="C32" s="5"/>
      <c r="D32" s="5"/>
      <c r="E32" s="5"/>
      <c r="F32" s="6"/>
      <c r="G32" s="5"/>
      <c r="H32" s="13"/>
      <c r="I32" s="5"/>
      <c r="J32" s="7"/>
      <c r="K32" s="7"/>
    </row>
    <row r="33" spans="2:11">
      <c r="B33" s="5"/>
      <c r="C33" s="5"/>
      <c r="D33" s="5"/>
      <c r="E33" s="5"/>
      <c r="F33" s="6"/>
      <c r="G33" s="5"/>
      <c r="H33" s="13"/>
      <c r="I33" s="5"/>
      <c r="J33" s="7"/>
      <c r="K33" s="7"/>
    </row>
    <row r="34" spans="2:11">
      <c r="B34" s="5"/>
      <c r="C34" s="5"/>
      <c r="D34" s="5"/>
      <c r="E34" s="5"/>
      <c r="F34" s="6"/>
      <c r="G34" s="5"/>
      <c r="H34" s="13"/>
      <c r="I34" s="5"/>
      <c r="J34" s="7"/>
      <c r="K34" s="7"/>
    </row>
    <row r="35" spans="2:11">
      <c r="B35" s="5"/>
      <c r="C35" s="5"/>
      <c r="D35" s="5"/>
      <c r="E35" s="5"/>
      <c r="F35" s="6"/>
      <c r="G35" s="5"/>
      <c r="H35" s="13"/>
      <c r="I35" s="5"/>
      <c r="J35" s="7"/>
      <c r="K35" s="7"/>
    </row>
    <row r="36" spans="2:11">
      <c r="B36" s="5"/>
      <c r="C36" s="5"/>
      <c r="D36" s="5"/>
      <c r="E36" s="5"/>
      <c r="F36" s="6"/>
      <c r="G36" s="5"/>
      <c r="H36" s="13"/>
      <c r="I36" s="5"/>
      <c r="J36" s="7"/>
      <c r="K36" s="7"/>
    </row>
    <row r="37" spans="2:11">
      <c r="B37" s="5"/>
      <c r="C37" s="5"/>
      <c r="D37" s="5"/>
      <c r="E37" s="5"/>
      <c r="F37" s="6"/>
      <c r="G37" s="5"/>
      <c r="H37" s="13"/>
      <c r="I37" s="5"/>
      <c r="J37" s="7"/>
      <c r="K37" s="7"/>
    </row>
    <row r="38" spans="2:11">
      <c r="B38" s="5"/>
      <c r="C38" s="5"/>
      <c r="D38" s="5"/>
      <c r="E38" s="5"/>
      <c r="F38" s="6"/>
      <c r="G38" s="5"/>
      <c r="H38" s="13"/>
      <c r="I38" s="5"/>
      <c r="J38" s="7"/>
      <c r="K38" s="7"/>
    </row>
    <row r="39" spans="2:11">
      <c r="B39" s="5"/>
      <c r="C39" s="5"/>
      <c r="D39" s="5"/>
      <c r="E39" s="5"/>
      <c r="F39" s="6"/>
      <c r="G39" s="5"/>
      <c r="H39" s="13"/>
      <c r="I39" s="5"/>
      <c r="J39" s="7"/>
      <c r="K39" s="7"/>
    </row>
    <row r="40" spans="2:11">
      <c r="B40" s="5"/>
      <c r="C40" s="5"/>
      <c r="D40" s="5"/>
      <c r="E40" s="5"/>
      <c r="F40" s="6"/>
      <c r="G40" s="5"/>
      <c r="H40" s="13"/>
      <c r="I40" s="5"/>
      <c r="J40" s="7"/>
      <c r="K40" s="7"/>
    </row>
    <row r="41" spans="2:11">
      <c r="B41" s="5"/>
      <c r="C41" s="5"/>
      <c r="D41" s="5"/>
      <c r="E41" s="5"/>
      <c r="F41" s="6"/>
      <c r="G41" s="5"/>
      <c r="H41" s="13"/>
      <c r="I41" s="5"/>
      <c r="J41" s="7"/>
      <c r="K41" s="7"/>
    </row>
    <row r="42" spans="2:11">
      <c r="B42" s="5"/>
      <c r="C42" s="5"/>
      <c r="D42" s="5"/>
      <c r="E42" s="5"/>
      <c r="F42" s="6"/>
      <c r="G42" s="5"/>
      <c r="H42" s="13"/>
      <c r="I42" s="5"/>
      <c r="J42" s="7"/>
      <c r="K42" s="7"/>
    </row>
    <row r="43" spans="2:11">
      <c r="B43" s="5"/>
      <c r="C43" s="5"/>
      <c r="D43" s="5"/>
      <c r="E43" s="5"/>
      <c r="F43" s="6"/>
      <c r="G43" s="5"/>
      <c r="H43" s="13"/>
      <c r="I43" s="5"/>
      <c r="J43" s="7"/>
      <c r="K43" s="7"/>
    </row>
    <row r="44" spans="2:11">
      <c r="B44" s="5"/>
      <c r="C44" s="5"/>
      <c r="D44" s="5"/>
      <c r="E44" s="5"/>
      <c r="F44" s="6"/>
      <c r="G44" s="5"/>
      <c r="H44" s="13"/>
      <c r="I44" s="5"/>
      <c r="J44" s="7"/>
      <c r="K44" s="7"/>
    </row>
    <row r="45" spans="2:11">
      <c r="B45" s="5"/>
      <c r="C45" s="5"/>
      <c r="D45" s="5"/>
      <c r="E45" s="5"/>
      <c r="F45" s="6"/>
      <c r="G45" s="5"/>
      <c r="H45" s="13"/>
      <c r="I45" s="5"/>
      <c r="J45" s="7"/>
      <c r="K45" s="7"/>
    </row>
    <row r="46" spans="2:11">
      <c r="B46" s="5"/>
      <c r="C46" s="5"/>
      <c r="D46" s="5"/>
      <c r="E46" s="5"/>
      <c r="F46" s="6"/>
      <c r="G46" s="5"/>
      <c r="H46" s="13"/>
      <c r="I46" s="5"/>
      <c r="J46" s="7"/>
      <c r="K46" s="7"/>
    </row>
    <row r="47" spans="2:11">
      <c r="B47" s="5"/>
      <c r="C47" s="5"/>
      <c r="D47" s="5"/>
      <c r="E47" s="5"/>
      <c r="F47" s="6"/>
      <c r="G47" s="5"/>
      <c r="H47" s="13"/>
      <c r="I47" s="5"/>
      <c r="J47" s="7"/>
      <c r="K47" s="7"/>
    </row>
    <row r="48" spans="2:11">
      <c r="B48" s="5"/>
      <c r="C48" s="5"/>
      <c r="D48" s="5"/>
      <c r="E48" s="5"/>
      <c r="F48" s="6"/>
      <c r="G48" s="5"/>
      <c r="H48" s="13"/>
      <c r="I48" s="5"/>
      <c r="J48" s="7"/>
      <c r="K48" s="7"/>
    </row>
    <row r="49" spans="2:11">
      <c r="B49" s="5"/>
      <c r="C49" s="5"/>
      <c r="D49" s="5"/>
      <c r="E49" s="5"/>
      <c r="F49" s="6"/>
      <c r="G49" s="5"/>
      <c r="H49" s="13"/>
      <c r="I49" s="5"/>
      <c r="J49" s="7"/>
      <c r="K49" s="7"/>
    </row>
    <row r="50" spans="2:11">
      <c r="B50" s="5"/>
      <c r="C50" s="5"/>
      <c r="D50" s="5"/>
      <c r="E50" s="5"/>
      <c r="F50" s="6"/>
      <c r="G50" s="5"/>
      <c r="H50" s="13"/>
      <c r="I50" s="5"/>
      <c r="J50" s="7"/>
      <c r="K50" s="7"/>
    </row>
    <row r="51" spans="2:11">
      <c r="B51" s="5"/>
      <c r="C51" s="5"/>
      <c r="D51" s="5"/>
      <c r="E51" s="5"/>
      <c r="F51" s="6"/>
      <c r="G51" s="5"/>
      <c r="H51" s="13"/>
      <c r="I51" s="5"/>
      <c r="J51" s="7"/>
      <c r="K51" s="7"/>
    </row>
    <row r="52" spans="2:11">
      <c r="B52" s="5"/>
      <c r="C52" s="5"/>
      <c r="D52" s="5"/>
      <c r="E52" s="5"/>
      <c r="F52" s="6"/>
      <c r="G52" s="5"/>
      <c r="H52" s="13"/>
      <c r="I52" s="5"/>
      <c r="J52" s="7"/>
      <c r="K52" s="7"/>
    </row>
    <row r="53" spans="2:11">
      <c r="B53" s="5"/>
      <c r="C53" s="5"/>
      <c r="D53" s="5"/>
      <c r="E53" s="5"/>
      <c r="F53" s="6"/>
      <c r="G53" s="5"/>
      <c r="H53" s="13"/>
      <c r="I53" s="5"/>
      <c r="J53" s="7"/>
      <c r="K53" s="7"/>
    </row>
    <row r="54" spans="2:11">
      <c r="B54" s="5"/>
      <c r="C54" s="5"/>
      <c r="D54" s="5"/>
      <c r="E54" s="5"/>
      <c r="F54" s="6"/>
      <c r="G54" s="5"/>
      <c r="H54" s="13"/>
      <c r="I54" s="5"/>
      <c r="J54" s="7"/>
      <c r="K54" s="7"/>
    </row>
    <row r="55" spans="2:11">
      <c r="B55" s="5"/>
      <c r="C55" s="5"/>
      <c r="D55" s="5"/>
      <c r="E55" s="5"/>
      <c r="F55" s="6"/>
      <c r="G55" s="5"/>
      <c r="H55" s="13"/>
      <c r="I55" s="5"/>
      <c r="J55" s="7"/>
      <c r="K55" s="7"/>
    </row>
    <row r="56" spans="2:11">
      <c r="B56" s="5"/>
      <c r="C56" s="5"/>
      <c r="D56" s="5"/>
      <c r="E56" s="5"/>
      <c r="F56" s="6"/>
      <c r="G56" s="5"/>
      <c r="H56" s="13"/>
      <c r="I56" s="5"/>
      <c r="J56" s="7"/>
      <c r="K56" s="7"/>
    </row>
    <row r="57" spans="2:11">
      <c r="B57" s="5"/>
      <c r="C57" s="5"/>
      <c r="D57" s="5"/>
      <c r="E57" s="5"/>
      <c r="F57" s="6"/>
      <c r="G57" s="5"/>
      <c r="H57" s="13"/>
      <c r="I57" s="5"/>
      <c r="J57" s="7"/>
      <c r="K57" s="7"/>
    </row>
    <row r="58" spans="2:11">
      <c r="B58" s="5"/>
      <c r="C58" s="5"/>
      <c r="D58" s="5"/>
      <c r="E58" s="5"/>
      <c r="F58" s="6"/>
      <c r="G58" s="5"/>
      <c r="H58" s="13"/>
      <c r="I58" s="5"/>
      <c r="J58" s="7"/>
      <c r="K58" s="7"/>
    </row>
    <row r="59" spans="2:11">
      <c r="B59" s="5"/>
      <c r="C59" s="5"/>
      <c r="D59" s="5"/>
      <c r="E59" s="5"/>
      <c r="F59" s="6"/>
      <c r="G59" s="5"/>
      <c r="H59" s="13"/>
      <c r="I59" s="5"/>
      <c r="J59" s="7"/>
      <c r="K59" s="7"/>
    </row>
    <row r="60" spans="2:11">
      <c r="B60" s="5"/>
      <c r="C60" s="5"/>
      <c r="D60" s="5"/>
      <c r="E60" s="5"/>
      <c r="F60" s="6"/>
      <c r="G60" s="5"/>
      <c r="H60" s="13"/>
      <c r="I60" s="5"/>
      <c r="J60" s="7"/>
      <c r="K60" s="7"/>
    </row>
    <row r="61" spans="2:11">
      <c r="B61" s="5"/>
      <c r="C61" s="5"/>
      <c r="D61" s="5"/>
      <c r="E61" s="5"/>
      <c r="F61" s="6"/>
      <c r="G61" s="5"/>
      <c r="H61" s="13"/>
      <c r="I61" s="5"/>
      <c r="J61" s="7"/>
      <c r="K61" s="7"/>
    </row>
    <row r="62" spans="2:11">
      <c r="B62" s="5"/>
      <c r="C62" s="5"/>
      <c r="D62" s="5"/>
      <c r="E62" s="5"/>
      <c r="F62" s="6"/>
      <c r="G62" s="5"/>
      <c r="H62" s="13"/>
      <c r="I62" s="5"/>
      <c r="J62" s="7"/>
      <c r="K62" s="7"/>
    </row>
    <row r="63" spans="2:11">
      <c r="B63" s="5"/>
      <c r="C63" s="5"/>
      <c r="D63" s="5"/>
      <c r="E63" s="5"/>
      <c r="F63" s="6"/>
      <c r="G63" s="5"/>
      <c r="H63" s="13"/>
      <c r="I63" s="5"/>
      <c r="J63" s="7"/>
      <c r="K63" s="7"/>
    </row>
    <row r="64" spans="2:11">
      <c r="B64" s="5"/>
      <c r="C64" s="5"/>
      <c r="D64" s="5"/>
      <c r="E64" s="5"/>
      <c r="F64" s="6"/>
      <c r="G64" s="5"/>
      <c r="H64" s="13"/>
      <c r="I64" s="5"/>
      <c r="J64" s="7"/>
      <c r="K64" s="7"/>
    </row>
    <row r="65" spans="2:11">
      <c r="B65" s="5"/>
      <c r="C65" s="5"/>
      <c r="D65" s="5"/>
      <c r="E65" s="5"/>
      <c r="F65" s="6"/>
      <c r="G65" s="5"/>
      <c r="H65" s="13"/>
      <c r="I65" s="5"/>
      <c r="J65" s="7"/>
      <c r="K65" s="7"/>
    </row>
    <row r="66" spans="2:11">
      <c r="B66" s="5"/>
      <c r="C66" s="5"/>
      <c r="D66" s="5"/>
      <c r="E66" s="5"/>
      <c r="F66" s="6"/>
      <c r="G66" s="5"/>
      <c r="H66" s="13"/>
      <c r="I66" s="5"/>
      <c r="J66" s="7"/>
      <c r="K66" s="7"/>
    </row>
    <row r="67" spans="2:11">
      <c r="B67" s="5"/>
      <c r="C67" s="5"/>
      <c r="D67" s="5"/>
      <c r="E67" s="5"/>
      <c r="F67" s="6"/>
      <c r="G67" s="5"/>
      <c r="H67" s="13"/>
      <c r="I67" s="5"/>
      <c r="J67" s="7"/>
      <c r="K67" s="7"/>
    </row>
    <row r="68" spans="2:11">
      <c r="B68" s="5"/>
      <c r="C68" s="5"/>
      <c r="D68" s="5"/>
      <c r="E68" s="5"/>
      <c r="F68" s="6"/>
      <c r="G68" s="5"/>
      <c r="H68" s="13"/>
      <c r="I68" s="5"/>
      <c r="J68" s="7"/>
      <c r="K68" s="7"/>
    </row>
    <row r="69" spans="2:11">
      <c r="B69" s="5"/>
      <c r="C69" s="5"/>
      <c r="D69" s="5"/>
      <c r="E69" s="5"/>
      <c r="F69" s="6"/>
      <c r="G69" s="5"/>
      <c r="H69" s="13"/>
      <c r="I69" s="5"/>
      <c r="J69" s="7"/>
      <c r="K69" s="7"/>
    </row>
    <row r="70" spans="2:11">
      <c r="B70" s="5"/>
      <c r="C70" s="5"/>
      <c r="D70" s="5"/>
      <c r="E70" s="5"/>
      <c r="F70" s="6"/>
      <c r="G70" s="5"/>
      <c r="H70" s="13"/>
      <c r="I70" s="5"/>
      <c r="J70" s="7"/>
      <c r="K70" s="7"/>
    </row>
    <row r="71" spans="2:11">
      <c r="B71" s="5"/>
      <c r="C71" s="5"/>
      <c r="D71" s="5"/>
      <c r="E71" s="5"/>
      <c r="F71" s="6"/>
      <c r="G71" s="5"/>
      <c r="H71" s="13"/>
      <c r="I71" s="5"/>
      <c r="J71" s="7"/>
      <c r="K71" s="7"/>
    </row>
    <row r="72" spans="2:11">
      <c r="B72" s="5"/>
      <c r="C72" s="5"/>
      <c r="D72" s="5"/>
      <c r="E72" s="5"/>
      <c r="F72" s="6"/>
      <c r="G72" s="5"/>
      <c r="H72" s="13"/>
      <c r="I72" s="5"/>
      <c r="J72" s="7"/>
      <c r="K72" s="7"/>
    </row>
    <row r="73" spans="2:11">
      <c r="B73" s="5"/>
      <c r="C73" s="5"/>
      <c r="D73" s="5"/>
      <c r="E73" s="5"/>
      <c r="F73" s="6"/>
      <c r="G73" s="5"/>
      <c r="H73" s="13"/>
      <c r="I73" s="5"/>
      <c r="J73" s="7"/>
      <c r="K73" s="7"/>
    </row>
    <row r="74" spans="2:11">
      <c r="B74" s="5"/>
      <c r="C74" s="5"/>
      <c r="D74" s="5"/>
      <c r="E74" s="5"/>
      <c r="F74" s="6"/>
      <c r="G74" s="5"/>
      <c r="H74" s="13"/>
      <c r="I74" s="5"/>
      <c r="J74" s="7"/>
      <c r="K74" s="7"/>
    </row>
    <row r="75" spans="2:11">
      <c r="B75" s="5"/>
      <c r="C75" s="5"/>
      <c r="D75" s="5"/>
      <c r="E75" s="5"/>
      <c r="F75" s="6"/>
      <c r="G75" s="5"/>
      <c r="H75" s="13"/>
      <c r="I75" s="5"/>
      <c r="J75" s="7"/>
      <c r="K75" s="7"/>
    </row>
    <row r="76" spans="2:11">
      <c r="B76" s="5"/>
      <c r="C76" s="5"/>
      <c r="D76" s="5"/>
      <c r="E76" s="5"/>
      <c r="F76" s="6"/>
      <c r="G76" s="5"/>
      <c r="H76" s="13"/>
      <c r="I76" s="5"/>
      <c r="J76" s="7"/>
      <c r="K76" s="7"/>
    </row>
    <row r="77" spans="2:11">
      <c r="B77" s="5"/>
      <c r="C77" s="5"/>
      <c r="D77" s="5"/>
      <c r="E77" s="5"/>
      <c r="F77" s="6"/>
      <c r="G77" s="5"/>
      <c r="H77" s="13"/>
      <c r="I77" s="5"/>
      <c r="J77" s="7"/>
      <c r="K77" s="7"/>
    </row>
    <row r="78" spans="2:11">
      <c r="B78" s="5"/>
      <c r="C78" s="5"/>
      <c r="D78" s="5"/>
      <c r="E78" s="5"/>
      <c r="F78" s="6"/>
      <c r="G78" s="5"/>
      <c r="H78" s="13"/>
      <c r="I78" s="5"/>
      <c r="J78" s="7"/>
      <c r="K78" s="7"/>
    </row>
    <row r="79" spans="2:11">
      <c r="B79" s="5"/>
      <c r="C79" s="5"/>
      <c r="D79" s="5"/>
      <c r="E79" s="5"/>
      <c r="F79" s="6"/>
      <c r="G79" s="5"/>
      <c r="H79" s="13"/>
      <c r="I79" s="5"/>
      <c r="J79" s="7"/>
      <c r="K79" s="7"/>
    </row>
    <row r="80" spans="2:11">
      <c r="B80" s="5"/>
      <c r="C80" s="5"/>
      <c r="D80" s="5"/>
      <c r="E80" s="5"/>
      <c r="F80" s="6"/>
      <c r="G80" s="5"/>
      <c r="H80" s="13"/>
      <c r="I80" s="5"/>
      <c r="J80" s="7"/>
      <c r="K80" s="7"/>
    </row>
    <row r="81" spans="2:11">
      <c r="B81" s="5"/>
      <c r="C81" s="5"/>
      <c r="D81" s="5"/>
      <c r="E81" s="5"/>
      <c r="F81" s="6"/>
      <c r="G81" s="5"/>
      <c r="H81" s="13"/>
      <c r="I81" s="5"/>
      <c r="J81" s="7"/>
      <c r="K81" s="7"/>
    </row>
    <row r="82" spans="2:11">
      <c r="B82" s="5"/>
      <c r="C82" s="5"/>
      <c r="D82" s="5"/>
      <c r="E82" s="5"/>
      <c r="F82" s="6"/>
      <c r="G82" s="5"/>
      <c r="H82" s="13"/>
      <c r="I82" s="5"/>
      <c r="J82" s="7"/>
      <c r="K82" s="7"/>
    </row>
    <row r="83" spans="2:11">
      <c r="B83" s="5"/>
      <c r="C83" s="5"/>
      <c r="D83" s="5"/>
      <c r="E83" s="5"/>
      <c r="F83" s="6"/>
      <c r="G83" s="5"/>
      <c r="H83" s="13"/>
      <c r="I83" s="5"/>
      <c r="J83" s="7"/>
      <c r="K83" s="7"/>
    </row>
    <row r="84" spans="2:11">
      <c r="B84" s="5"/>
      <c r="C84" s="5"/>
      <c r="D84" s="5"/>
      <c r="E84" s="5"/>
      <c r="F84" s="6"/>
      <c r="G84" s="5"/>
      <c r="H84" s="13"/>
      <c r="I84" s="5"/>
      <c r="J84" s="7"/>
      <c r="K84" s="7"/>
    </row>
    <row r="85" spans="2:11">
      <c r="B85" s="5"/>
      <c r="C85" s="5"/>
      <c r="D85" s="5"/>
      <c r="E85" s="5"/>
      <c r="F85" s="6"/>
      <c r="G85" s="5"/>
      <c r="H85" s="13"/>
      <c r="I85" s="5"/>
      <c r="J85" s="7"/>
      <c r="K85" s="7"/>
    </row>
    <row r="86" spans="2:11">
      <c r="B86" s="5"/>
      <c r="C86" s="5"/>
      <c r="D86" s="5"/>
      <c r="E86" s="5"/>
      <c r="F86" s="6"/>
      <c r="G86" s="5"/>
      <c r="H86" s="13"/>
      <c r="I86" s="5"/>
      <c r="J86" s="7"/>
      <c r="K86" s="7"/>
    </row>
    <row r="87" spans="2:11">
      <c r="B87" s="5"/>
      <c r="C87" s="5"/>
      <c r="D87" s="5"/>
      <c r="E87" s="5"/>
      <c r="F87" s="6"/>
      <c r="G87" s="5"/>
      <c r="H87" s="13"/>
      <c r="I87" s="5"/>
      <c r="J87" s="7"/>
      <c r="K87" s="7"/>
    </row>
    <row r="88" spans="2:11">
      <c r="B88" s="5"/>
      <c r="C88" s="5"/>
      <c r="D88" s="5"/>
      <c r="E88" s="5"/>
      <c r="F88" s="6"/>
      <c r="G88" s="5"/>
      <c r="H88" s="13"/>
      <c r="I88" s="5"/>
      <c r="J88" s="7"/>
      <c r="K88" s="7"/>
    </row>
    <row r="89" spans="2:11">
      <c r="B89" s="5"/>
      <c r="C89" s="5"/>
      <c r="D89" s="5"/>
      <c r="E89" s="5"/>
      <c r="F89" s="6"/>
      <c r="G89" s="5"/>
      <c r="H89" s="13"/>
      <c r="I89" s="5"/>
      <c r="J89" s="7"/>
      <c r="K89" s="7"/>
    </row>
    <row r="90" spans="2:11">
      <c r="B90" s="5"/>
      <c r="C90" s="5"/>
      <c r="D90" s="5"/>
      <c r="E90" s="5"/>
      <c r="F90" s="6"/>
      <c r="G90" s="5"/>
      <c r="H90" s="13"/>
      <c r="I90" s="5"/>
      <c r="J90" s="7"/>
      <c r="K90" s="7"/>
    </row>
    <row r="91" spans="2:11">
      <c r="B91" s="5"/>
      <c r="C91" s="5"/>
      <c r="D91" s="5"/>
      <c r="E91" s="5"/>
      <c r="F91" s="6"/>
      <c r="G91" s="5"/>
      <c r="H91" s="13"/>
      <c r="I91" s="5"/>
      <c r="J91" s="7"/>
      <c r="K91" s="7"/>
    </row>
    <row r="92" spans="2:11">
      <c r="B92" s="5"/>
      <c r="C92" s="5"/>
      <c r="D92" s="5"/>
      <c r="E92" s="5"/>
      <c r="F92" s="6"/>
      <c r="G92" s="5"/>
      <c r="H92" s="13"/>
      <c r="I92" s="5"/>
      <c r="J92" s="7"/>
      <c r="K92" s="7"/>
    </row>
    <row r="93" spans="2:11">
      <c r="B93" s="5"/>
      <c r="C93" s="5"/>
      <c r="D93" s="5"/>
      <c r="E93" s="5"/>
      <c r="F93" s="6"/>
      <c r="G93" s="5"/>
      <c r="H93" s="13"/>
      <c r="I93" s="5"/>
      <c r="J93" s="7"/>
      <c r="K93" s="7"/>
    </row>
    <row r="94" spans="2:11">
      <c r="B94" s="5"/>
      <c r="C94" s="5"/>
      <c r="D94" s="5"/>
      <c r="E94" s="5"/>
      <c r="F94" s="6"/>
      <c r="G94" s="5"/>
      <c r="H94" s="13"/>
      <c r="I94" s="5"/>
      <c r="J94" s="7"/>
      <c r="K94" s="7"/>
    </row>
    <row r="95" spans="2:11">
      <c r="B95" s="5"/>
      <c r="C95" s="5"/>
      <c r="D95" s="5"/>
      <c r="E95" s="5"/>
      <c r="F95" s="6"/>
      <c r="G95" s="5"/>
      <c r="H95" s="13"/>
      <c r="I95" s="5"/>
      <c r="J95" s="7"/>
      <c r="K95" s="7"/>
    </row>
    <row r="96" spans="2:11">
      <c r="B96" s="5"/>
      <c r="C96" s="5"/>
      <c r="D96" s="5"/>
      <c r="E96" s="5"/>
      <c r="F96" s="6"/>
      <c r="G96" s="5"/>
      <c r="H96" s="13"/>
      <c r="I96" s="5"/>
      <c r="J96" s="7"/>
      <c r="K96" s="7"/>
    </row>
    <row r="97" spans="2:11">
      <c r="B97" s="5"/>
      <c r="C97" s="5"/>
      <c r="D97" s="5"/>
      <c r="E97" s="5"/>
      <c r="F97" s="6"/>
      <c r="G97" s="5"/>
      <c r="H97" s="13"/>
      <c r="I97" s="5"/>
      <c r="J97" s="7"/>
      <c r="K97" s="7"/>
    </row>
    <row r="98" spans="2:11">
      <c r="B98" s="5"/>
      <c r="C98" s="5"/>
      <c r="D98" s="5"/>
      <c r="E98" s="5"/>
      <c r="F98" s="6"/>
      <c r="G98" s="5"/>
      <c r="H98" s="13"/>
      <c r="I98" s="5"/>
      <c r="J98" s="7"/>
      <c r="K98" s="7"/>
    </row>
    <row r="99" spans="2:11">
      <c r="B99" s="5"/>
      <c r="C99" s="5"/>
      <c r="D99" s="5"/>
      <c r="E99" s="5"/>
      <c r="F99" s="6"/>
      <c r="G99" s="5"/>
      <c r="H99" s="13"/>
      <c r="I99" s="5"/>
      <c r="J99" s="7"/>
      <c r="K99" s="7"/>
    </row>
    <row r="100" spans="2:11">
      <c r="B100" s="5"/>
      <c r="C100" s="5"/>
      <c r="D100" s="5"/>
      <c r="E100" s="5"/>
      <c r="F100" s="6"/>
      <c r="G100" s="5"/>
      <c r="H100" s="13"/>
      <c r="I100" s="5"/>
      <c r="J100" s="7"/>
      <c r="K100" s="7"/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712A-95D8-4931-A0DA-8C691007052C}">
  <sheetPr codeName="Sheet2"/>
  <dimension ref="B1:I14"/>
  <sheetViews>
    <sheetView showGridLines="0" tabSelected="1" workbookViewId="0">
      <selection activeCell="J16" sqref="J16"/>
    </sheetView>
  </sheetViews>
  <sheetFormatPr defaultColWidth="8.59765625" defaultRowHeight="13.8"/>
  <cols>
    <col min="1" max="1" width="2.5" customWidth="1"/>
    <col min="2" max="2" width="8.5" style="15" customWidth="1"/>
    <col min="3" max="3" width="21" customWidth="1"/>
    <col min="4" max="4" width="4.19921875" customWidth="1"/>
    <col min="6" max="6" width="10.5" style="15" customWidth="1"/>
  </cols>
  <sheetData>
    <row r="1" spans="2:9" ht="15" customHeight="1" thickBot="1"/>
    <row r="2" spans="2:9">
      <c r="B2" s="8" t="s">
        <v>21</v>
      </c>
      <c r="C2" s="16" t="s">
        <v>22</v>
      </c>
      <c r="E2" s="9" t="s">
        <v>34</v>
      </c>
      <c r="F2" s="17" t="s">
        <v>4</v>
      </c>
      <c r="H2" s="9" t="s">
        <v>9</v>
      </c>
      <c r="I2" s="8" t="s">
        <v>25</v>
      </c>
    </row>
    <row r="3" spans="2:9" ht="14.4" thickBot="1">
      <c r="B3" s="18" t="s">
        <v>27</v>
      </c>
      <c r="C3" s="19" t="s">
        <v>28</v>
      </c>
      <c r="E3" s="20" t="s">
        <v>17</v>
      </c>
      <c r="F3" s="21">
        <v>43881</v>
      </c>
      <c r="H3" s="5" t="s">
        <v>6</v>
      </c>
      <c r="I3" s="7">
        <v>2800</v>
      </c>
    </row>
    <row r="4" spans="2:9" ht="14.4" thickBot="1">
      <c r="H4" s="5" t="s">
        <v>7</v>
      </c>
      <c r="I4" s="7">
        <v>3400</v>
      </c>
    </row>
    <row r="5" spans="2:9" ht="14.4" thickBot="1">
      <c r="B5" s="22" t="s">
        <v>0</v>
      </c>
      <c r="C5" s="23" t="s">
        <v>18</v>
      </c>
      <c r="D5" s="22" t="s">
        <v>19</v>
      </c>
      <c r="E5" s="22" t="s">
        <v>20</v>
      </c>
      <c r="F5" s="22" t="s">
        <v>3</v>
      </c>
      <c r="H5" s="24" t="s">
        <v>8</v>
      </c>
      <c r="I5" s="25">
        <v>4100</v>
      </c>
    </row>
    <row r="6" spans="2:9">
      <c r="B6" s="26">
        <v>1</v>
      </c>
      <c r="C6" s="27" t="s">
        <v>6</v>
      </c>
      <c r="D6" s="28">
        <v>3</v>
      </c>
      <c r="E6" s="29">
        <f>IFERROR(VLOOKUP(C6,H3:I5,2,0),"")</f>
        <v>2800</v>
      </c>
      <c r="F6" s="30">
        <f>IF(D6&gt;0,D6*E6,"")</f>
        <v>8400</v>
      </c>
    </row>
    <row r="7" spans="2:9">
      <c r="B7" s="26">
        <v>2</v>
      </c>
      <c r="C7" s="27" t="s">
        <v>7</v>
      </c>
      <c r="D7" s="5">
        <v>10</v>
      </c>
      <c r="E7" s="30">
        <f t="shared" ref="E7:E10" si="0">IFERROR(VLOOKUP(C7,H4:I6,2,0),"")</f>
        <v>3400</v>
      </c>
      <c r="F7" s="30">
        <f t="shared" ref="F7:F10" si="1">IF(D7&gt;0,D7*E7,"")</f>
        <v>34000</v>
      </c>
    </row>
    <row r="8" spans="2:9">
      <c r="B8" s="26">
        <v>3</v>
      </c>
      <c r="C8" s="27" t="s">
        <v>8</v>
      </c>
      <c r="D8" s="28">
        <v>6</v>
      </c>
      <c r="E8" s="30">
        <f t="shared" si="0"/>
        <v>4100</v>
      </c>
      <c r="F8" s="30">
        <f t="shared" si="1"/>
        <v>24600</v>
      </c>
    </row>
    <row r="9" spans="2:9">
      <c r="B9" s="26">
        <v>4</v>
      </c>
      <c r="C9" s="27"/>
      <c r="D9" s="28"/>
      <c r="E9" s="30" t="str">
        <f t="shared" si="0"/>
        <v/>
      </c>
      <c r="F9" s="30" t="str">
        <f t="shared" si="1"/>
        <v/>
      </c>
    </row>
    <row r="10" spans="2:9" ht="14.4" thickBot="1">
      <c r="B10" s="31">
        <v>5</v>
      </c>
      <c r="C10" s="32"/>
      <c r="D10" s="33"/>
      <c r="E10" s="34" t="str">
        <f t="shared" si="0"/>
        <v/>
      </c>
      <c r="F10" s="34" t="str">
        <f t="shared" si="1"/>
        <v/>
      </c>
    </row>
    <row r="11" spans="2:9">
      <c r="E11" s="8" t="s">
        <v>2</v>
      </c>
      <c r="F11" s="35">
        <f>SUM(F6:F10)</f>
        <v>67000</v>
      </c>
    </row>
    <row r="12" spans="2:9">
      <c r="E12" s="14" t="s">
        <v>5</v>
      </c>
      <c r="F12" s="1">
        <v>0.08</v>
      </c>
    </row>
    <row r="13" spans="2:9">
      <c r="E13" s="14" t="s">
        <v>1</v>
      </c>
      <c r="F13" s="30">
        <f>ROUND(F11*F12,0)</f>
        <v>5360</v>
      </c>
    </row>
    <row r="14" spans="2:9" ht="14.4" thickBot="1">
      <c r="E14" s="18" t="s">
        <v>26</v>
      </c>
      <c r="F14" s="36">
        <f>F11+F13</f>
        <v>72360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DECC9-05F8-45D6-A095-3DD375D98CF8}">
  <sheetPr codeName="Sheet3"/>
  <dimension ref="B1:I14"/>
  <sheetViews>
    <sheetView showGridLines="0" workbookViewId="0"/>
  </sheetViews>
  <sheetFormatPr defaultColWidth="8.59765625" defaultRowHeight="13.8"/>
  <cols>
    <col min="1" max="1" width="2.5" customWidth="1"/>
    <col min="2" max="2" width="8.5" style="15" customWidth="1"/>
    <col min="3" max="3" width="21" customWidth="1"/>
    <col min="4" max="4" width="4.19921875" customWidth="1"/>
    <col min="6" max="6" width="10.5" style="15" customWidth="1"/>
  </cols>
  <sheetData>
    <row r="1" spans="2:9" ht="15" customHeight="1" thickBot="1"/>
    <row r="2" spans="2:9">
      <c r="B2" s="8" t="s">
        <v>21</v>
      </c>
      <c r="C2" s="16" t="s">
        <v>22</v>
      </c>
      <c r="E2" s="9" t="s">
        <v>34</v>
      </c>
      <c r="F2" s="17" t="s">
        <v>10</v>
      </c>
      <c r="H2" s="9" t="s">
        <v>9</v>
      </c>
      <c r="I2" s="8" t="s">
        <v>25</v>
      </c>
    </row>
    <row r="3" spans="2:9" ht="14.4" thickBot="1">
      <c r="B3" s="18" t="s">
        <v>27</v>
      </c>
      <c r="C3" s="19" t="s">
        <v>28</v>
      </c>
      <c r="E3" s="20" t="s">
        <v>17</v>
      </c>
      <c r="F3" s="21">
        <v>43883</v>
      </c>
      <c r="H3" s="5" t="s">
        <v>6</v>
      </c>
      <c r="I3" s="7">
        <v>2800</v>
      </c>
    </row>
    <row r="4" spans="2:9" ht="14.4" thickBot="1">
      <c r="H4" s="5" t="s">
        <v>7</v>
      </c>
      <c r="I4" s="7">
        <v>3400</v>
      </c>
    </row>
    <row r="5" spans="2:9" ht="14.4" thickBot="1">
      <c r="B5" s="22" t="s">
        <v>0</v>
      </c>
      <c r="C5" s="23" t="s">
        <v>18</v>
      </c>
      <c r="D5" s="22" t="s">
        <v>19</v>
      </c>
      <c r="E5" s="22" t="s">
        <v>20</v>
      </c>
      <c r="F5" s="22" t="s">
        <v>3</v>
      </c>
      <c r="H5" s="24" t="s">
        <v>8</v>
      </c>
      <c r="I5" s="25">
        <v>4100</v>
      </c>
    </row>
    <row r="6" spans="2:9">
      <c r="B6" s="26">
        <v>1</v>
      </c>
      <c r="C6" s="27" t="s">
        <v>6</v>
      </c>
      <c r="D6" s="28">
        <v>18</v>
      </c>
      <c r="E6" s="29">
        <f>IFERROR(VLOOKUP(C6,H3:I5,2,0),"")</f>
        <v>2800</v>
      </c>
      <c r="F6" s="30">
        <f>IF(D6&gt;0,D6*E6,"")</f>
        <v>50400</v>
      </c>
    </row>
    <row r="7" spans="2:9">
      <c r="B7" s="26">
        <v>2</v>
      </c>
      <c r="C7" s="27" t="s">
        <v>7</v>
      </c>
      <c r="D7" s="5">
        <v>22</v>
      </c>
      <c r="E7" s="30">
        <f t="shared" ref="E7:E10" si="0">IFERROR(VLOOKUP(C7,H4:I6,2,0),"")</f>
        <v>3400</v>
      </c>
      <c r="F7" s="30">
        <f t="shared" ref="F7:F10" si="1">IF(D7&gt;0,D7*E7,"")</f>
        <v>74800</v>
      </c>
    </row>
    <row r="8" spans="2:9">
      <c r="B8" s="26">
        <v>3</v>
      </c>
      <c r="C8" s="27"/>
      <c r="D8" s="28"/>
      <c r="E8" s="30" t="str">
        <f t="shared" si="0"/>
        <v/>
      </c>
      <c r="F8" s="30" t="str">
        <f t="shared" si="1"/>
        <v/>
      </c>
    </row>
    <row r="9" spans="2:9">
      <c r="B9" s="26">
        <v>4</v>
      </c>
      <c r="C9" s="27"/>
      <c r="D9" s="28"/>
      <c r="E9" s="30" t="str">
        <f t="shared" si="0"/>
        <v/>
      </c>
      <c r="F9" s="30" t="str">
        <f t="shared" si="1"/>
        <v/>
      </c>
    </row>
    <row r="10" spans="2:9" ht="14.4" thickBot="1">
      <c r="B10" s="31">
        <v>5</v>
      </c>
      <c r="C10" s="32"/>
      <c r="D10" s="33"/>
      <c r="E10" s="34" t="str">
        <f t="shared" si="0"/>
        <v/>
      </c>
      <c r="F10" s="34" t="str">
        <f t="shared" si="1"/>
        <v/>
      </c>
    </row>
    <row r="11" spans="2:9">
      <c r="E11" s="8" t="s">
        <v>2</v>
      </c>
      <c r="F11" s="35">
        <f>SUM(F6:F10)</f>
        <v>125200</v>
      </c>
    </row>
    <row r="12" spans="2:9">
      <c r="E12" s="14" t="s">
        <v>5</v>
      </c>
      <c r="F12" s="1">
        <v>0.08</v>
      </c>
    </row>
    <row r="13" spans="2:9">
      <c r="E13" s="14" t="s">
        <v>1</v>
      </c>
      <c r="F13" s="30">
        <f>ROUND(F11*F12,0)</f>
        <v>10016</v>
      </c>
    </row>
    <row r="14" spans="2:9" ht="14.4" thickBot="1">
      <c r="E14" s="18" t="s">
        <v>26</v>
      </c>
      <c r="F14" s="36">
        <f>F11+F13</f>
        <v>135216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80BA8-9C61-4F27-B1BD-88A4344846E9}">
  <sheetPr codeName="Sheet4"/>
  <dimension ref="B1:I14"/>
  <sheetViews>
    <sheetView showGridLines="0" workbookViewId="0">
      <selection activeCell="F9" sqref="F9"/>
    </sheetView>
  </sheetViews>
  <sheetFormatPr defaultColWidth="8.59765625" defaultRowHeight="13.8"/>
  <cols>
    <col min="1" max="1" width="2.5" customWidth="1"/>
    <col min="2" max="2" width="8.5" style="15" customWidth="1"/>
    <col min="3" max="3" width="21" customWidth="1"/>
    <col min="4" max="4" width="4.19921875" customWidth="1"/>
    <col min="6" max="6" width="10.5" style="15" customWidth="1"/>
  </cols>
  <sheetData>
    <row r="1" spans="2:9" ht="15" customHeight="1" thickBot="1"/>
    <row r="2" spans="2:9">
      <c r="B2" s="8" t="s">
        <v>21</v>
      </c>
      <c r="C2" s="16" t="s">
        <v>24</v>
      </c>
      <c r="E2" s="9" t="s">
        <v>34</v>
      </c>
      <c r="F2" s="17" t="s">
        <v>11</v>
      </c>
      <c r="H2" s="9" t="s">
        <v>9</v>
      </c>
      <c r="I2" s="8" t="s">
        <v>25</v>
      </c>
    </row>
    <row r="3" spans="2:9" ht="14.4" thickBot="1">
      <c r="B3" s="18" t="s">
        <v>27</v>
      </c>
      <c r="C3" s="19" t="s">
        <v>36</v>
      </c>
      <c r="E3" s="20" t="s">
        <v>17</v>
      </c>
      <c r="F3" s="21">
        <v>43882</v>
      </c>
      <c r="H3" s="5" t="s">
        <v>6</v>
      </c>
      <c r="I3" s="7">
        <v>2500</v>
      </c>
    </row>
    <row r="4" spans="2:9" ht="14.4" thickBot="1">
      <c r="H4" s="5" t="s">
        <v>7</v>
      </c>
      <c r="I4" s="7">
        <v>3000</v>
      </c>
    </row>
    <row r="5" spans="2:9" ht="14.4" thickBot="1">
      <c r="B5" s="22" t="s">
        <v>0</v>
      </c>
      <c r="C5" s="23" t="s">
        <v>18</v>
      </c>
      <c r="D5" s="22" t="s">
        <v>19</v>
      </c>
      <c r="E5" s="22" t="s">
        <v>20</v>
      </c>
      <c r="F5" s="22" t="s">
        <v>3</v>
      </c>
      <c r="H5" s="24" t="s">
        <v>8</v>
      </c>
      <c r="I5" s="25">
        <v>4000</v>
      </c>
    </row>
    <row r="6" spans="2:9">
      <c r="B6" s="26">
        <v>1</v>
      </c>
      <c r="C6" s="27" t="s">
        <v>6</v>
      </c>
      <c r="D6" s="28">
        <v>12</v>
      </c>
      <c r="E6" s="29">
        <f>IFERROR(VLOOKUP(C6,H3:I5,2,0),"")</f>
        <v>2500</v>
      </c>
      <c r="F6" s="30">
        <f>IF(D6&gt;0,D6*E6,"")</f>
        <v>30000</v>
      </c>
      <c r="H6" t="s">
        <v>35</v>
      </c>
    </row>
    <row r="7" spans="2:9">
      <c r="B7" s="26">
        <v>2</v>
      </c>
      <c r="C7" s="27" t="s">
        <v>7</v>
      </c>
      <c r="D7" s="5">
        <v>5</v>
      </c>
      <c r="E7" s="30">
        <f t="shared" ref="E7:E10" si="0">IFERROR(VLOOKUP(C7,H4:I6,2,0),"")</f>
        <v>3000</v>
      </c>
      <c r="F7" s="30">
        <f t="shared" ref="F7:F10" si="1">IF(D7&gt;0,D7*E7,"")</f>
        <v>15000</v>
      </c>
    </row>
    <row r="8" spans="2:9">
      <c r="B8" s="26">
        <v>3</v>
      </c>
      <c r="C8" s="27" t="s">
        <v>8</v>
      </c>
      <c r="D8" s="28">
        <v>40</v>
      </c>
      <c r="E8" s="30">
        <f t="shared" si="0"/>
        <v>4000</v>
      </c>
      <c r="F8" s="30">
        <f t="shared" si="1"/>
        <v>160000</v>
      </c>
    </row>
    <row r="9" spans="2:9">
      <c r="B9" s="26">
        <v>4</v>
      </c>
      <c r="C9" s="27" t="s">
        <v>29</v>
      </c>
      <c r="D9" s="28">
        <v>20</v>
      </c>
      <c r="E9" s="30">
        <v>1600</v>
      </c>
      <c r="F9" s="30">
        <f t="shared" si="1"/>
        <v>32000</v>
      </c>
    </row>
    <row r="10" spans="2:9" ht="14.4" thickBot="1">
      <c r="B10" s="31">
        <v>5</v>
      </c>
      <c r="C10" s="32"/>
      <c r="D10" s="33"/>
      <c r="E10" s="34" t="str">
        <f t="shared" si="0"/>
        <v/>
      </c>
      <c r="F10" s="34" t="str">
        <f t="shared" si="1"/>
        <v/>
      </c>
    </row>
    <row r="11" spans="2:9">
      <c r="E11" s="8" t="s">
        <v>2</v>
      </c>
      <c r="F11" s="35">
        <f>SUM(F6:F10)</f>
        <v>237000</v>
      </c>
    </row>
    <row r="12" spans="2:9">
      <c r="E12" s="14" t="s">
        <v>5</v>
      </c>
      <c r="F12" s="1">
        <v>0.08</v>
      </c>
    </row>
    <row r="13" spans="2:9">
      <c r="E13" s="14" t="s">
        <v>1</v>
      </c>
      <c r="F13" s="30">
        <f>ROUND(F11*F12,0)</f>
        <v>18960</v>
      </c>
    </row>
    <row r="14" spans="2:9" ht="14.4" thickBot="1">
      <c r="E14" s="18" t="s">
        <v>26</v>
      </c>
      <c r="F14" s="36">
        <f>F11+F13</f>
        <v>255960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2E12-D954-44D3-BE7C-C59C8C5C6122}">
  <sheetPr codeName="Sheet5"/>
  <dimension ref="B1:I14"/>
  <sheetViews>
    <sheetView showGridLines="0" workbookViewId="0"/>
  </sheetViews>
  <sheetFormatPr defaultColWidth="8.59765625" defaultRowHeight="13.8"/>
  <cols>
    <col min="1" max="1" width="2.5" customWidth="1"/>
    <col min="2" max="2" width="8.5" style="15" customWidth="1"/>
    <col min="3" max="3" width="21" customWidth="1"/>
    <col min="4" max="4" width="4.19921875" customWidth="1"/>
    <col min="6" max="6" width="10.5" style="15" customWidth="1"/>
  </cols>
  <sheetData>
    <row r="1" spans="2:9" ht="15" customHeight="1" thickBot="1"/>
    <row r="2" spans="2:9">
      <c r="B2" s="8" t="s">
        <v>21</v>
      </c>
      <c r="C2" s="16" t="s">
        <v>24</v>
      </c>
      <c r="E2" s="9" t="s">
        <v>34</v>
      </c>
      <c r="F2" s="17" t="s">
        <v>12</v>
      </c>
      <c r="H2" s="9" t="s">
        <v>9</v>
      </c>
      <c r="I2" s="8" t="s">
        <v>25</v>
      </c>
    </row>
    <row r="3" spans="2:9" ht="14.4" thickBot="1">
      <c r="B3" s="18" t="s">
        <v>27</v>
      </c>
      <c r="C3" s="19" t="s">
        <v>36</v>
      </c>
      <c r="E3" s="20" t="s">
        <v>17</v>
      </c>
      <c r="F3" s="21">
        <v>43884</v>
      </c>
      <c r="H3" s="5" t="s">
        <v>6</v>
      </c>
      <c r="I3" s="7">
        <v>2500</v>
      </c>
    </row>
    <row r="4" spans="2:9" ht="14.4" thickBot="1">
      <c r="H4" s="5" t="s">
        <v>7</v>
      </c>
      <c r="I4" s="7">
        <v>3000</v>
      </c>
    </row>
    <row r="5" spans="2:9" ht="14.4" thickBot="1">
      <c r="B5" s="22" t="s">
        <v>0</v>
      </c>
      <c r="C5" s="23" t="s">
        <v>18</v>
      </c>
      <c r="D5" s="22" t="s">
        <v>19</v>
      </c>
      <c r="E5" s="22" t="s">
        <v>20</v>
      </c>
      <c r="F5" s="22" t="s">
        <v>3</v>
      </c>
      <c r="H5" s="24" t="s">
        <v>8</v>
      </c>
      <c r="I5" s="25">
        <v>4000</v>
      </c>
    </row>
    <row r="6" spans="2:9">
      <c r="B6" s="26">
        <v>1</v>
      </c>
      <c r="C6" s="27" t="s">
        <v>7</v>
      </c>
      <c r="D6" s="28">
        <v>28</v>
      </c>
      <c r="E6" s="29">
        <f>IFERROR(VLOOKUP(C6,H3:I5,2,0),"")</f>
        <v>3000</v>
      </c>
      <c r="F6" s="30">
        <f>IF(D6&gt;0,D6*E6,"")</f>
        <v>84000</v>
      </c>
      <c r="H6" t="s">
        <v>35</v>
      </c>
    </row>
    <row r="7" spans="2:9">
      <c r="B7" s="26">
        <v>2</v>
      </c>
      <c r="C7" s="27" t="s">
        <v>8</v>
      </c>
      <c r="D7" s="5">
        <v>19</v>
      </c>
      <c r="E7" s="30">
        <f t="shared" ref="E7:E10" si="0">IFERROR(VLOOKUP(C7,H4:I6,2,0),"")</f>
        <v>4000</v>
      </c>
      <c r="F7" s="30">
        <f t="shared" ref="F7:F10" si="1">IF(D7&gt;0,D7*E7,"")</f>
        <v>76000</v>
      </c>
    </row>
    <row r="8" spans="2:9">
      <c r="B8" s="26">
        <v>3</v>
      </c>
      <c r="C8" s="27" t="s">
        <v>30</v>
      </c>
      <c r="D8" s="28" t="s">
        <v>31</v>
      </c>
      <c r="E8" s="30" t="str">
        <f t="shared" si="0"/>
        <v/>
      </c>
      <c r="F8" s="30">
        <v>-3000</v>
      </c>
    </row>
    <row r="9" spans="2:9">
      <c r="B9" s="26">
        <v>4</v>
      </c>
      <c r="C9" s="27"/>
      <c r="D9" s="28"/>
      <c r="E9" s="30" t="str">
        <f t="shared" si="0"/>
        <v/>
      </c>
      <c r="F9" s="30" t="str">
        <f t="shared" si="1"/>
        <v/>
      </c>
    </row>
    <row r="10" spans="2:9" ht="14.4" thickBot="1">
      <c r="B10" s="31">
        <v>5</v>
      </c>
      <c r="C10" s="32"/>
      <c r="D10" s="33"/>
      <c r="E10" s="34" t="str">
        <f t="shared" si="0"/>
        <v/>
      </c>
      <c r="F10" s="34" t="str">
        <f t="shared" si="1"/>
        <v/>
      </c>
    </row>
    <row r="11" spans="2:9">
      <c r="E11" s="8" t="s">
        <v>2</v>
      </c>
      <c r="F11" s="35">
        <f>SUM(F6:F10)</f>
        <v>157000</v>
      </c>
    </row>
    <row r="12" spans="2:9">
      <c r="E12" s="14" t="s">
        <v>5</v>
      </c>
      <c r="F12" s="1">
        <v>0.08</v>
      </c>
    </row>
    <row r="13" spans="2:9">
      <c r="E13" s="14" t="s">
        <v>1</v>
      </c>
      <c r="F13" s="30">
        <f>ROUND(F11*F12,0)</f>
        <v>12560</v>
      </c>
    </row>
    <row r="14" spans="2:9" ht="14.4" thickBot="1">
      <c r="E14" s="18" t="s">
        <v>26</v>
      </c>
      <c r="F14" s="36">
        <f>F11+F13</f>
        <v>169560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CE511-F712-4763-9CDC-06F5B3A58574}">
  <sheetPr codeName="Sheet6"/>
  <dimension ref="B1:I14"/>
  <sheetViews>
    <sheetView showGridLines="0" workbookViewId="0"/>
  </sheetViews>
  <sheetFormatPr defaultColWidth="8.59765625" defaultRowHeight="13.8"/>
  <cols>
    <col min="1" max="1" width="2.5" customWidth="1"/>
    <col min="2" max="2" width="8.5" style="15" customWidth="1"/>
    <col min="3" max="3" width="21" customWidth="1"/>
    <col min="4" max="4" width="4.19921875" customWidth="1"/>
    <col min="6" max="6" width="10.5" style="15" customWidth="1"/>
  </cols>
  <sheetData>
    <row r="1" spans="2:9" ht="15" customHeight="1" thickBot="1"/>
    <row r="2" spans="2:9">
      <c r="B2" s="8" t="s">
        <v>21</v>
      </c>
      <c r="C2" s="16" t="s">
        <v>23</v>
      </c>
      <c r="E2" s="9" t="s">
        <v>34</v>
      </c>
      <c r="F2" s="17" t="s">
        <v>13</v>
      </c>
      <c r="H2" s="9" t="s">
        <v>9</v>
      </c>
      <c r="I2" s="8" t="s">
        <v>25</v>
      </c>
    </row>
    <row r="3" spans="2:9" ht="14.4" thickBot="1">
      <c r="B3" s="18" t="s">
        <v>27</v>
      </c>
      <c r="C3" s="19" t="s">
        <v>28</v>
      </c>
      <c r="E3" s="20" t="s">
        <v>17</v>
      </c>
      <c r="F3" s="21">
        <v>43886</v>
      </c>
      <c r="H3" s="5" t="s">
        <v>6</v>
      </c>
      <c r="I3" s="7">
        <v>2800</v>
      </c>
    </row>
    <row r="4" spans="2:9" ht="14.4" thickBot="1">
      <c r="H4" s="5" t="s">
        <v>7</v>
      </c>
      <c r="I4" s="7">
        <v>3400</v>
      </c>
    </row>
    <row r="5" spans="2:9" ht="14.4" thickBot="1">
      <c r="B5" s="22" t="s">
        <v>0</v>
      </c>
      <c r="C5" s="23" t="s">
        <v>18</v>
      </c>
      <c r="D5" s="22" t="s">
        <v>19</v>
      </c>
      <c r="E5" s="22" t="s">
        <v>20</v>
      </c>
      <c r="F5" s="22" t="s">
        <v>3</v>
      </c>
      <c r="H5" s="24" t="s">
        <v>8</v>
      </c>
      <c r="I5" s="25">
        <v>4100</v>
      </c>
    </row>
    <row r="6" spans="2:9">
      <c r="B6" s="26">
        <v>1</v>
      </c>
      <c r="C6" s="27" t="s">
        <v>6</v>
      </c>
      <c r="D6" s="28">
        <v>8</v>
      </c>
      <c r="E6" s="29">
        <f>IFERROR(VLOOKUP(C6,H3:I5,2,0),"")</f>
        <v>2800</v>
      </c>
      <c r="F6" s="30">
        <f>IF(D6&gt;0,D6*E6,"")</f>
        <v>22400</v>
      </c>
    </row>
    <row r="7" spans="2:9">
      <c r="B7" s="26">
        <v>2</v>
      </c>
      <c r="C7" s="27" t="s">
        <v>7</v>
      </c>
      <c r="D7" s="5">
        <v>12</v>
      </c>
      <c r="E7" s="30">
        <f t="shared" ref="E7:E8" si="0">IFERROR(VLOOKUP(C7,H4:I6,2,0),"")</f>
        <v>3400</v>
      </c>
      <c r="F7" s="30">
        <f t="shared" ref="F7:F10" si="1">IF(D7&gt;0,D7*E7,"")</f>
        <v>40800</v>
      </c>
    </row>
    <row r="8" spans="2:9">
      <c r="B8" s="26">
        <v>3</v>
      </c>
      <c r="C8" s="27" t="s">
        <v>8</v>
      </c>
      <c r="D8" s="28">
        <v>16</v>
      </c>
      <c r="E8" s="30">
        <f t="shared" si="0"/>
        <v>4100</v>
      </c>
      <c r="F8" s="30">
        <f t="shared" si="1"/>
        <v>65600</v>
      </c>
    </row>
    <row r="9" spans="2:9">
      <c r="B9" s="26">
        <v>4</v>
      </c>
      <c r="C9" s="27" t="s">
        <v>32</v>
      </c>
      <c r="D9" s="28">
        <v>1</v>
      </c>
      <c r="E9" s="30">
        <v>30000</v>
      </c>
      <c r="F9" s="30">
        <f t="shared" si="1"/>
        <v>30000</v>
      </c>
    </row>
    <row r="10" spans="2:9" ht="14.4" thickBot="1">
      <c r="B10" s="31">
        <v>5</v>
      </c>
      <c r="C10" s="32" t="s">
        <v>33</v>
      </c>
      <c r="D10" s="33">
        <v>5</v>
      </c>
      <c r="E10" s="34">
        <v>1500</v>
      </c>
      <c r="F10" s="34">
        <f t="shared" si="1"/>
        <v>7500</v>
      </c>
    </row>
    <row r="11" spans="2:9">
      <c r="E11" s="8" t="s">
        <v>2</v>
      </c>
      <c r="F11" s="35">
        <f>SUM(F6:F10)</f>
        <v>166300</v>
      </c>
    </row>
    <row r="12" spans="2:9">
      <c r="E12" s="14" t="s">
        <v>5</v>
      </c>
      <c r="F12" s="1">
        <v>0.08</v>
      </c>
    </row>
    <row r="13" spans="2:9">
      <c r="E13" s="14" t="s">
        <v>1</v>
      </c>
      <c r="F13" s="30">
        <f>ROUND(F11*F12,0)</f>
        <v>13304</v>
      </c>
    </row>
    <row r="14" spans="2:9" ht="14.4" thickBot="1">
      <c r="E14" s="18" t="s">
        <v>26</v>
      </c>
      <c r="F14" s="36">
        <f>F11+F13</f>
        <v>179604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匯總</vt:lpstr>
      <vt:lpstr>交易A</vt:lpstr>
      <vt:lpstr>交易B</vt:lpstr>
      <vt:lpstr>交易C</vt:lpstr>
      <vt:lpstr>交易D</vt:lpstr>
      <vt:lpstr>交易E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2019-12-15T22:30:09Z</dcterms:created>
  <dcterms:modified xsi:type="dcterms:W3CDTF">2025-05-24T12:39:05Z</dcterms:modified>
</cp:coreProperties>
</file>