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ffi\BDSE36MS_Office\Excel Macro VBA\CH13_Error\"/>
    </mc:Choice>
  </mc:AlternateContent>
  <xr:revisionPtr revIDLastSave="0" documentId="13_ncr:1_{0F2A721C-561D-4B37-AED1-7EB0805E6D86}" xr6:coauthVersionLast="47" xr6:coauthVersionMax="47" xr10:uidLastSave="{00000000-0000-0000-0000-000000000000}"/>
  <bookViews>
    <workbookView xWindow="22932" yWindow="-108" windowWidth="23256" windowHeight="12456" xr2:uid="{A9FFB9FC-B592-4167-AAAE-F82664387884}"/>
  </bookViews>
  <sheets>
    <sheet name="單據" sheetId="2" r:id="rId1"/>
    <sheet name="明細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2" l="1"/>
  <c r="F5" i="2" s="1"/>
  <c r="C5" i="2"/>
</calcChain>
</file>

<file path=xl/sharedStrings.xml><?xml version="1.0" encoding="utf-8"?>
<sst xmlns="http://schemas.openxmlformats.org/spreadsheetml/2006/main" count="155" uniqueCount="81">
  <si>
    <t>ID</t>
  </si>
  <si>
    <t>D01</t>
  </si>
  <si>
    <t>S01</t>
  </si>
  <si>
    <t>D02</t>
  </si>
  <si>
    <t>C01</t>
  </si>
  <si>
    <t>C02</t>
  </si>
  <si>
    <t>S02</t>
  </si>
  <si>
    <t>C03</t>
  </si>
  <si>
    <t>S03</t>
  </si>
  <si>
    <t>D03</t>
  </si>
  <si>
    <t>C04</t>
  </si>
  <si>
    <t>S04</t>
  </si>
  <si>
    <t>C05</t>
  </si>
  <si>
    <t>C06</t>
  </si>
  <si>
    <t>C07</t>
  </si>
  <si>
    <t>S05</t>
  </si>
  <si>
    <t>D04</t>
  </si>
  <si>
    <t>C08</t>
  </si>
  <si>
    <t>S06</t>
  </si>
  <si>
    <t>S07</t>
  </si>
  <si>
    <t>C09</t>
  </si>
  <si>
    <t>小計</t>
    <rPh sb="0" eb="2">
      <t>ショウケイ</t>
    </rPh>
    <phoneticPr fontId="2"/>
  </si>
  <si>
    <t>商品ID</t>
    <rPh sb="0" eb="2">
      <t>ショウヒン</t>
    </rPh>
    <phoneticPr fontId="2"/>
  </si>
  <si>
    <t>C05</t>
    <phoneticPr fontId="2"/>
  </si>
  <si>
    <t>價格</t>
  </si>
  <si>
    <t>價格</t>
    <phoneticPr fontId="2"/>
  </si>
  <si>
    <t>數量</t>
    <phoneticPr fontId="2"/>
  </si>
  <si>
    <t>訂購日期</t>
    <phoneticPr fontId="2"/>
  </si>
  <si>
    <t>梅干</t>
  </si>
  <si>
    <t>餛飩</t>
    <phoneticPr fontId="2"/>
  </si>
  <si>
    <t>橄欖油</t>
    <phoneticPr fontId="2"/>
  </si>
  <si>
    <t>糖漿</t>
    <phoneticPr fontId="2"/>
  </si>
  <si>
    <t>梨乾</t>
    <phoneticPr fontId="2"/>
  </si>
  <si>
    <t>印度奶茶</t>
    <phoneticPr fontId="2"/>
  </si>
  <si>
    <t>辣椒醬</t>
    <phoneticPr fontId="2"/>
  </si>
  <si>
    <t>咖啡</t>
    <phoneticPr fontId="2"/>
  </si>
  <si>
    <t>啤酒</t>
    <phoneticPr fontId="2"/>
  </si>
  <si>
    <t>果醬</t>
    <phoneticPr fontId="2"/>
  </si>
  <si>
    <t>咖哩醬</t>
    <phoneticPr fontId="2"/>
  </si>
  <si>
    <t>蛤蜊巧達湯</t>
    <phoneticPr fontId="2"/>
  </si>
  <si>
    <t>白巧克力</t>
    <phoneticPr fontId="2"/>
  </si>
  <si>
    <t>杏仁</t>
    <phoneticPr fontId="2"/>
  </si>
  <si>
    <t>水果雞尾酒</t>
    <phoneticPr fontId="2"/>
  </si>
  <si>
    <t>玉棋</t>
    <phoneticPr fontId="2"/>
  </si>
  <si>
    <t>巧克力</t>
    <phoneticPr fontId="2"/>
  </si>
  <si>
    <t>莫札瑞拉起司</t>
    <phoneticPr fontId="2"/>
  </si>
  <si>
    <t>増田 宏樹</t>
  </si>
  <si>
    <t>宮崎 陽平</t>
  </si>
  <si>
    <t>星野 啓太</t>
  </si>
  <si>
    <t>三田 聡</t>
  </si>
  <si>
    <t>山田 有美</t>
  </si>
  <si>
    <t>松井 典子</t>
  </si>
  <si>
    <t>金子 由紀子</t>
  </si>
  <si>
    <t>前田 健司</t>
  </si>
  <si>
    <t>松沢 誠一</t>
  </si>
  <si>
    <t>山本 雅治</t>
  </si>
  <si>
    <t>啤酒</t>
  </si>
  <si>
    <t>玉棋</t>
  </si>
  <si>
    <t>果醬</t>
  </si>
  <si>
    <t>餛飩</t>
  </si>
  <si>
    <t>橄欖油</t>
  </si>
  <si>
    <t>水果雞尾酒</t>
  </si>
  <si>
    <t>莫札瑞拉起司</t>
  </si>
  <si>
    <t>糖漿</t>
  </si>
  <si>
    <t>杏仁</t>
  </si>
  <si>
    <t>梨乾</t>
  </si>
  <si>
    <t>蟹罐頭</t>
  </si>
  <si>
    <t>印度奶茶</t>
  </si>
  <si>
    <t>白巧克力</t>
  </si>
  <si>
    <t>巧克力</t>
  </si>
  <si>
    <t>辣椒醬</t>
  </si>
  <si>
    <t>蛤蜊巧達湯</t>
  </si>
  <si>
    <t>咖哩醬</t>
  </si>
  <si>
    <t>咖啡</t>
  </si>
  <si>
    <t>小計</t>
    <phoneticPr fontId="2"/>
  </si>
  <si>
    <t>司康鬆餅</t>
  </si>
  <si>
    <t>商品名稱</t>
    <phoneticPr fontId="2"/>
  </si>
  <si>
    <t>三田 聰</t>
    <phoneticPr fontId="2"/>
  </si>
  <si>
    <t>負責者</t>
    <phoneticPr fontId="2"/>
  </si>
  <si>
    <t>螃蟹罐頭</t>
    <phoneticPr fontId="2"/>
  </si>
  <si>
    <t>司康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</si>
</sst>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微軟正黑體"/>
      <family val="2"/>
      <charset val="136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sz val="11"/>
      <color theme="4"/>
      <name val="新細明體"/>
      <family val="2"/>
      <charset val="128"/>
      <scheme val="minor"/>
    </font>
    <font>
      <sz val="11"/>
      <color rgb="FF000000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/>
      <diagonal/>
    </border>
    <border>
      <left/>
      <right/>
      <top style="medium">
        <color theme="9" tint="-0.24994659260841701"/>
      </top>
      <bottom style="dotted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dotted">
        <color theme="9" tint="-0.24994659260841701"/>
      </top>
      <bottom style="medium">
        <color theme="9" tint="-0.2499465926084170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left" vertical="center" indent="1"/>
    </xf>
    <xf numFmtId="0" fontId="0" fillId="0" borderId="2" xfId="0" applyBorder="1">
      <alignment vertical="center"/>
    </xf>
    <xf numFmtId="14" fontId="0" fillId="0" borderId="2" xfId="0" applyNumberFormat="1" applyBorder="1">
      <alignment vertical="center"/>
    </xf>
    <xf numFmtId="0" fontId="0" fillId="0" borderId="2" xfId="0" applyBorder="1" applyAlignment="1">
      <alignment horizontal="left" vertical="center" indent="1"/>
    </xf>
    <xf numFmtId="38" fontId="0" fillId="0" borderId="2" xfId="1" applyFont="1" applyBorder="1">
      <alignment vertical="center"/>
    </xf>
    <xf numFmtId="0" fontId="0" fillId="0" borderId="3" xfId="0" applyBorder="1">
      <alignment vertical="center"/>
    </xf>
    <xf numFmtId="14" fontId="0" fillId="0" borderId="3" xfId="0" applyNumberFormat="1" applyBorder="1">
      <alignment vertical="center"/>
    </xf>
    <xf numFmtId="0" fontId="0" fillId="0" borderId="3" xfId="0" applyBorder="1" applyAlignment="1">
      <alignment horizontal="left" vertical="center" indent="1"/>
    </xf>
    <xf numFmtId="38" fontId="0" fillId="0" borderId="3" xfId="1" applyFont="1" applyBorder="1">
      <alignment vertical="center"/>
    </xf>
    <xf numFmtId="0" fontId="0" fillId="2" borderId="1" xfId="0" applyFill="1" applyBorder="1" applyAlignment="1">
      <alignment horizontal="right" vertical="center"/>
    </xf>
    <xf numFmtId="0" fontId="0" fillId="2" borderId="1" xfId="0" applyFill="1" applyBorder="1" applyAlignment="1">
      <alignment horizontal="left" vertical="center" indent="1"/>
    </xf>
    <xf numFmtId="0" fontId="0" fillId="2" borderId="1" xfId="0" applyFill="1" applyBorder="1">
      <alignment vertical="center"/>
    </xf>
    <xf numFmtId="38" fontId="0" fillId="2" borderId="1" xfId="1" applyFont="1" applyFill="1" applyBorder="1" applyAlignment="1">
      <alignment horizontal="right" vertical="center"/>
    </xf>
    <xf numFmtId="0" fontId="0" fillId="2" borderId="4" xfId="0" applyFill="1" applyBorder="1" applyAlignment="1">
      <alignment horizontal="right" vertical="center"/>
    </xf>
    <xf numFmtId="0" fontId="0" fillId="2" borderId="4" xfId="0" applyFill="1" applyBorder="1">
      <alignment vertical="center"/>
    </xf>
    <xf numFmtId="0" fontId="0" fillId="0" borderId="5" xfId="0" applyBorder="1">
      <alignment vertical="center"/>
    </xf>
    <xf numFmtId="0" fontId="0" fillId="2" borderId="5" xfId="0" applyFill="1" applyBorder="1">
      <alignment vertical="center"/>
    </xf>
    <xf numFmtId="0" fontId="0" fillId="0" borderId="6" xfId="0" applyBorder="1">
      <alignment vertical="center"/>
    </xf>
    <xf numFmtId="38" fontId="0" fillId="0" borderId="6" xfId="1" applyFont="1" applyBorder="1">
      <alignment vertical="center"/>
    </xf>
    <xf numFmtId="56" fontId="0" fillId="0" borderId="5" xfId="0" applyNumberFormat="1" applyBorder="1">
      <alignment vertical="center"/>
    </xf>
    <xf numFmtId="0" fontId="3" fillId="0" borderId="6" xfId="0" applyFont="1" applyBorder="1">
      <alignment vertical="center"/>
    </xf>
    <xf numFmtId="38" fontId="3" fillId="0" borderId="6" xfId="1" applyFont="1" applyBorder="1">
      <alignment vertical="center"/>
    </xf>
    <xf numFmtId="0" fontId="0" fillId="2" borderId="1" xfId="0" applyFill="1" applyBorder="1" applyAlignment="1">
      <alignment horizontal="right" vertical="center" indent="1"/>
    </xf>
  </cellXfs>
  <cellStyles count="2">
    <cellStyle name="一般" xfId="0" builtinId="0" customBuiltin="1"/>
    <cellStyle name="千分位[0]" xfId="1" builtinId="6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>
        <left/>
        <right/>
        <top style="dotted">
          <color theme="9" tint="-0.24994659260841701"/>
        </top>
        <bottom style="dotted">
          <color theme="9" tint="-0.24994659260841701"/>
        </bottom>
        <vertical/>
        <horizontal style="dotted">
          <color theme="9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>
        <left/>
        <right/>
        <top style="dotted">
          <color theme="9" tint="-0.24994659260841701"/>
        </top>
        <bottom style="dotted">
          <color theme="9" tint="-0.24994659260841701"/>
        </bottom>
        <vertical/>
        <horizontal style="dotted">
          <color theme="9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>
        <left/>
        <right/>
        <top style="dotted">
          <color theme="9" tint="-0.24994659260841701"/>
        </top>
        <bottom style="dotted">
          <color theme="9" tint="-0.24994659260841701"/>
        </bottom>
        <vertical/>
        <horizontal style="dotted">
          <color theme="9" tint="-0.24994659260841701"/>
        </horizontal>
      </border>
    </dxf>
    <dxf>
      <border diagonalUp="0" diagonalDown="0">
        <left/>
        <right/>
        <top style="dotted">
          <color theme="9" tint="-0.24994659260841701"/>
        </top>
        <bottom style="dotted">
          <color theme="9" tint="-0.24994659260841701"/>
        </bottom>
        <vertical/>
        <horizontal style="dotted">
          <color theme="9" tint="-0.24994659260841701"/>
        </horizontal>
      </border>
    </dxf>
    <dxf>
      <alignment horizontal="left" vertical="center" textRotation="0" wrapText="0" indent="1" justifyLastLine="0" shrinkToFit="0" readingOrder="0"/>
      <border diagonalUp="0" diagonalDown="0">
        <left/>
        <right/>
        <top style="dotted">
          <color theme="9" tint="-0.24994659260841701"/>
        </top>
        <bottom style="dotted">
          <color theme="9" tint="-0.24994659260841701"/>
        </bottom>
        <vertical/>
        <horizontal style="dotted">
          <color theme="9" tint="-0.24994659260841701"/>
        </horizontal>
      </border>
    </dxf>
    <dxf>
      <numFmt numFmtId="19" formatCode="yyyy/m/d"/>
      <border diagonalUp="0" diagonalDown="0">
        <left/>
        <right/>
        <top style="dotted">
          <color theme="9" tint="-0.24994659260841701"/>
        </top>
        <bottom style="dotted">
          <color theme="9" tint="-0.24994659260841701"/>
        </bottom>
        <vertical/>
        <horizontal style="dotted">
          <color theme="9" tint="-0.24994659260841701"/>
        </horizontal>
      </border>
    </dxf>
    <dxf>
      <border diagonalUp="0" diagonalDown="0">
        <left/>
        <right/>
        <top style="dotted">
          <color theme="9" tint="-0.24994659260841701"/>
        </top>
        <bottom style="dotted">
          <color theme="9" tint="-0.24994659260841701"/>
        </bottom>
        <vertical/>
        <horizontal style="dotted">
          <color theme="9" tint="-0.24994659260841701"/>
        </horizontal>
      </border>
    </dxf>
    <dxf>
      <border>
        <top style="dotted">
          <color theme="9" tint="-0.24994659260841701"/>
        </top>
      </border>
    </dxf>
    <dxf>
      <border diagonalUp="0" diagonalDown="0">
        <left/>
        <right/>
        <top style="medium">
          <color theme="9" tint="-0.24994659260841701"/>
        </top>
        <bottom style="medium">
          <color theme="9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</dxf>
    <dxf>
      <border>
        <bottom style="dotted">
          <color theme="9" tint="-0.24994659260841701"/>
        </bottom>
      </border>
    </dxf>
    <dxf>
      <fill>
        <patternFill patternType="solid">
          <fgColor indexed="64"/>
          <bgColor theme="9" tint="0.59999389629810485"/>
        </patternFill>
      </fill>
    </dxf>
    <dxf>
      <border diagonalUp="0" diagonalDown="0">
        <left/>
        <right/>
        <top style="dotted">
          <color theme="9" tint="-0.24994659260841701"/>
        </top>
        <bottom style="dotted">
          <color theme="9" tint="-0.24994659260841701"/>
        </bottom>
        <vertical/>
        <horizontal style="dotted">
          <color theme="9" tint="-0.24994659260841701"/>
        </horizontal>
      </border>
    </dxf>
    <dxf>
      <border diagonalUp="0" diagonalDown="0">
        <left/>
        <right/>
        <top style="dotted">
          <color theme="9" tint="-0.24994659260841701"/>
        </top>
        <bottom style="dotted">
          <color theme="9" tint="-0.24994659260841701"/>
        </bottom>
        <vertical/>
        <horizontal style="dotted">
          <color theme="9" tint="-0.24994659260841701"/>
        </horizontal>
      </border>
    </dxf>
    <dxf>
      <border diagonalUp="0" diagonalDown="0">
        <left/>
        <right/>
        <top style="dotted">
          <color theme="9" tint="-0.24994659260841701"/>
        </top>
        <bottom style="dotted">
          <color theme="9" tint="-0.24994659260841701"/>
        </bottom>
        <vertical/>
        <horizontal style="dotted">
          <color theme="9" tint="-0.24994659260841701"/>
        </horizontal>
      </border>
    </dxf>
    <dxf>
      <border>
        <top style="dotted">
          <color theme="9" tint="-0.24994659260841701"/>
        </top>
      </border>
    </dxf>
    <dxf>
      <border diagonalUp="0" diagonalDown="0">
        <left/>
        <right/>
        <top style="medium">
          <color theme="9" tint="-0.24994659260841701"/>
        </top>
        <bottom style="medium">
          <color theme="9" tint="-0.24994659260841701"/>
        </bottom>
      </border>
    </dxf>
    <dxf>
      <border>
        <bottom style="dotted">
          <color theme="9" tint="-0.24994659260841701"/>
        </bottom>
      </border>
    </dxf>
    <dxf>
      <fill>
        <patternFill patternType="solid">
          <fgColor indexed="64"/>
          <bgColor theme="9" tint="0.599993896298104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6</xdr:col>
          <xdr:colOff>0</xdr:colOff>
          <xdr:row>7</xdr:row>
          <xdr:rowOff>198120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登載明細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F5E1A4C-9C75-4981-BFBE-BC73E584F2D5}" name="產品資料表" displayName="產品資料表" ref="H2:J22" totalsRowShown="0" headerRowDxfId="18" headerRowBorderDxfId="17" tableBorderDxfId="16" totalsRowBorderDxfId="15">
  <autoFilter ref="H2:J22" xr:uid="{9657E15C-228A-4264-BB36-545A50679995}">
    <filterColumn colId="0" hiddenButton="1"/>
    <filterColumn colId="1" hiddenButton="1"/>
    <filterColumn colId="2" hiddenButton="1"/>
  </autoFilter>
  <tableColumns count="3">
    <tableColumn id="1" xr3:uid="{31A1AF00-9894-4C95-B739-E2B0394733A8}" name="ID" dataDxfId="14"/>
    <tableColumn id="2" xr3:uid="{9EB88EE1-D6EF-4D23-9F90-19BDFF4B3C96}" name="商品名稱" dataDxfId="13"/>
    <tableColumn id="3" xr3:uid="{F6F7C737-85BD-40F1-92B0-584B2A58536C}" name="價格" dataDxfId="1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1B232C-3F3E-4D18-BAA8-1AE52D2FB2A7}" name="明細資料表" displayName="明細資料表" ref="B2:H50" totalsRowShown="0" headerRowDxfId="11" dataDxfId="9" headerRowBorderDxfId="10" tableBorderDxfId="8" totalsRowBorderDxfId="7">
  <autoFilter ref="B2:H50" xr:uid="{15B21064-B3FF-4B1C-95FD-D6ABC80EC8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28BA39CD-3C7D-4975-94CF-97E4CC12FBEE}" name="ID" dataDxfId="6"/>
    <tableColumn id="2" xr3:uid="{CAF94A26-C471-43C3-BE16-9C5E7038106B}" name="訂購日期" dataDxfId="5"/>
    <tableColumn id="3" xr3:uid="{41F3B2DC-1288-4A76-94CF-DEBD51DF3729}" name="負責者" dataDxfId="4"/>
    <tableColumn id="5" xr3:uid="{39835CB8-4C52-49E8-B10D-0B828EC1399D}" name="商品名稱" dataDxfId="3"/>
    <tableColumn id="6" xr3:uid="{C8C515EA-C363-4AF6-ADE0-8AE935A08882}" name="價格" dataDxfId="2"/>
    <tableColumn id="7" xr3:uid="{B6066CDC-FB6E-4AA3-A396-004AB38BDB4D}" name="數量" dataDxfId="1"/>
    <tableColumn id="8" xr3:uid="{72FAFDF6-07D8-4786-B3B6-325B3C35A443}" name="小計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7C831-6098-48C3-8C7C-BAA395E2679F}">
  <sheetPr codeName="Sheet1"/>
  <dimension ref="B1:J22"/>
  <sheetViews>
    <sheetView showGridLines="0" tabSelected="1" workbookViewId="0">
      <selection activeCell="F12" sqref="F12"/>
    </sheetView>
  </sheetViews>
  <sheetFormatPr defaultRowHeight="13.8" x14ac:dyDescent="0.3"/>
  <cols>
    <col min="1" max="1" width="2.19921875" customWidth="1"/>
    <col min="3" max="3" width="16.5" customWidth="1"/>
    <col min="6" max="6" width="16.19921875" bestFit="1" customWidth="1"/>
    <col min="9" max="9" width="16.19921875" customWidth="1"/>
  </cols>
  <sheetData>
    <row r="1" spans="2:10" ht="15" customHeight="1" x14ac:dyDescent="0.3"/>
    <row r="2" spans="2:10" x14ac:dyDescent="0.3">
      <c r="B2" s="18" t="s">
        <v>78</v>
      </c>
      <c r="C2" s="17" t="s">
        <v>77</v>
      </c>
      <c r="E2" s="18" t="s">
        <v>27</v>
      </c>
      <c r="F2" s="21">
        <v>43825</v>
      </c>
      <c r="H2" s="13" t="s">
        <v>0</v>
      </c>
      <c r="I2" s="13" t="s">
        <v>76</v>
      </c>
      <c r="J2" s="24" t="s">
        <v>24</v>
      </c>
    </row>
    <row r="3" spans="2:10" ht="14.4" thickBot="1" x14ac:dyDescent="0.35">
      <c r="H3" s="3" t="s">
        <v>4</v>
      </c>
      <c r="I3" s="3" t="s">
        <v>28</v>
      </c>
      <c r="J3" s="3">
        <v>460</v>
      </c>
    </row>
    <row r="4" spans="2:10" x14ac:dyDescent="0.3">
      <c r="B4" s="16" t="s">
        <v>22</v>
      </c>
      <c r="C4" s="16" t="s">
        <v>76</v>
      </c>
      <c r="D4" s="15" t="s">
        <v>25</v>
      </c>
      <c r="E4" s="15" t="s">
        <v>26</v>
      </c>
      <c r="F4" s="15" t="s">
        <v>21</v>
      </c>
      <c r="H4" s="3" t="s">
        <v>5</v>
      </c>
      <c r="I4" s="3" t="s">
        <v>29</v>
      </c>
      <c r="J4" s="3">
        <v>2540</v>
      </c>
    </row>
    <row r="5" spans="2:10" ht="15.6" thickBot="1" x14ac:dyDescent="0.35">
      <c r="B5" s="19" t="s">
        <v>23</v>
      </c>
      <c r="C5" s="22" t="str">
        <f>VLOOKUP(B5,產品資料表[],2,FALSE)</f>
        <v>梨乾</v>
      </c>
      <c r="D5" s="23">
        <f>VLOOKUP(B5,產品資料表[],3,FALSE)</f>
        <v>3900</v>
      </c>
      <c r="E5" s="20">
        <v>50</v>
      </c>
      <c r="F5" s="23">
        <f>D5*E5</f>
        <v>195000</v>
      </c>
      <c r="H5" s="3" t="s">
        <v>7</v>
      </c>
      <c r="I5" s="3" t="s">
        <v>30</v>
      </c>
      <c r="J5" s="3">
        <v>2800</v>
      </c>
    </row>
    <row r="6" spans="2:10" x14ac:dyDescent="0.3">
      <c r="H6" s="3" t="s">
        <v>10</v>
      </c>
      <c r="I6" s="3" t="s">
        <v>31</v>
      </c>
      <c r="J6" s="3">
        <v>1300</v>
      </c>
    </row>
    <row r="7" spans="2:10" x14ac:dyDescent="0.3">
      <c r="H7" s="3" t="s">
        <v>12</v>
      </c>
      <c r="I7" s="3" t="s">
        <v>32</v>
      </c>
      <c r="J7" s="3">
        <v>3900</v>
      </c>
    </row>
    <row r="8" spans="2:10" x14ac:dyDescent="0.3">
      <c r="H8" s="3" t="s">
        <v>13</v>
      </c>
      <c r="I8" s="3" t="s">
        <v>79</v>
      </c>
      <c r="J8" s="3">
        <v>2400</v>
      </c>
    </row>
    <row r="9" spans="2:10" x14ac:dyDescent="0.3">
      <c r="H9" s="3" t="s">
        <v>14</v>
      </c>
      <c r="I9" s="3" t="s">
        <v>33</v>
      </c>
      <c r="J9" s="3">
        <v>2340</v>
      </c>
    </row>
    <row r="10" spans="2:10" x14ac:dyDescent="0.3">
      <c r="H10" s="3" t="s">
        <v>17</v>
      </c>
      <c r="I10" s="3" t="s">
        <v>34</v>
      </c>
      <c r="J10" s="3">
        <v>2860</v>
      </c>
    </row>
    <row r="11" spans="2:10" x14ac:dyDescent="0.3">
      <c r="H11" s="3" t="s">
        <v>20</v>
      </c>
      <c r="I11" s="3" t="s">
        <v>35</v>
      </c>
      <c r="J11" s="3">
        <v>5980</v>
      </c>
    </row>
    <row r="12" spans="2:10" x14ac:dyDescent="0.3">
      <c r="H12" s="3" t="s">
        <v>1</v>
      </c>
      <c r="I12" s="3" t="s">
        <v>36</v>
      </c>
      <c r="J12" s="3">
        <v>1820</v>
      </c>
    </row>
    <row r="13" spans="2:10" x14ac:dyDescent="0.3">
      <c r="H13" s="3" t="s">
        <v>3</v>
      </c>
      <c r="I13" s="3" t="s">
        <v>37</v>
      </c>
      <c r="J13" s="3">
        <v>3250</v>
      </c>
    </row>
    <row r="14" spans="2:10" x14ac:dyDescent="0.3">
      <c r="H14" s="3" t="s">
        <v>9</v>
      </c>
      <c r="I14" s="3" t="s">
        <v>45</v>
      </c>
      <c r="J14" s="3">
        <v>4530</v>
      </c>
    </row>
    <row r="15" spans="2:10" x14ac:dyDescent="0.3">
      <c r="H15" s="3" t="s">
        <v>16</v>
      </c>
      <c r="I15" s="3" t="s">
        <v>44</v>
      </c>
      <c r="J15" s="3">
        <v>1200</v>
      </c>
    </row>
    <row r="16" spans="2:10" x14ac:dyDescent="0.3">
      <c r="H16" s="3" t="s">
        <v>2</v>
      </c>
      <c r="I16" s="3" t="s">
        <v>43</v>
      </c>
      <c r="J16" s="3">
        <v>4940</v>
      </c>
    </row>
    <row r="17" spans="8:10" x14ac:dyDescent="0.3">
      <c r="H17" s="3" t="s">
        <v>6</v>
      </c>
      <c r="I17" s="3" t="s">
        <v>80</v>
      </c>
      <c r="J17" s="3">
        <v>1300</v>
      </c>
    </row>
    <row r="18" spans="8:10" x14ac:dyDescent="0.3">
      <c r="H18" s="3" t="s">
        <v>8</v>
      </c>
      <c r="I18" s="3" t="s">
        <v>42</v>
      </c>
      <c r="J18" s="3">
        <v>5070</v>
      </c>
    </row>
    <row r="19" spans="8:10" x14ac:dyDescent="0.3">
      <c r="H19" s="3" t="s">
        <v>11</v>
      </c>
      <c r="I19" s="3" t="s">
        <v>41</v>
      </c>
      <c r="J19" s="3">
        <v>1300</v>
      </c>
    </row>
    <row r="20" spans="8:10" x14ac:dyDescent="0.3">
      <c r="H20" s="3" t="s">
        <v>15</v>
      </c>
      <c r="I20" s="3" t="s">
        <v>40</v>
      </c>
      <c r="J20" s="3">
        <v>390</v>
      </c>
    </row>
    <row r="21" spans="8:10" x14ac:dyDescent="0.3">
      <c r="H21" s="3" t="s">
        <v>18</v>
      </c>
      <c r="I21" s="3" t="s">
        <v>39</v>
      </c>
      <c r="J21" s="3">
        <v>1260</v>
      </c>
    </row>
    <row r="22" spans="8:10" x14ac:dyDescent="0.3">
      <c r="H22" s="7" t="s">
        <v>19</v>
      </c>
      <c r="I22" s="7" t="s">
        <v>38</v>
      </c>
      <c r="J22" s="7">
        <v>5200</v>
      </c>
    </row>
  </sheetData>
  <phoneticPr fontId="2"/>
  <dataValidations disablePrompts="1" count="1">
    <dataValidation type="list" allowBlank="1" showInputMessage="1" showErrorMessage="1" sqref="B5" xr:uid="{8495624F-AE33-4E55-BE1D-3E91663251BC}">
      <formula1>$H$3:$H$22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在執行期間檢查值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198120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F55CC-8A59-4C41-B6B3-F9E9E5D1AFDE}">
  <sheetPr codeName="Sheet2"/>
  <dimension ref="B1:H50"/>
  <sheetViews>
    <sheetView showGridLines="0" workbookViewId="0">
      <pane ySplit="2" topLeftCell="A42" activePane="bottomLeft" state="frozen"/>
      <selection pane="bottomLeft"/>
    </sheetView>
  </sheetViews>
  <sheetFormatPr defaultRowHeight="13.8" x14ac:dyDescent="0.3"/>
  <cols>
    <col min="1" max="1" width="2.19921875" customWidth="1"/>
    <col min="2" max="2" width="5.5" customWidth="1"/>
    <col min="3" max="3" width="12.5" customWidth="1"/>
    <col min="4" max="4" width="14.5" style="2" customWidth="1"/>
    <col min="5" max="5" width="17.5" customWidth="1"/>
    <col min="6" max="6" width="8.5" style="1" customWidth="1"/>
    <col min="7" max="7" width="8.5" customWidth="1"/>
    <col min="8" max="8" width="12.5" customWidth="1"/>
  </cols>
  <sheetData>
    <row r="1" spans="2:8" ht="15" customHeight="1" x14ac:dyDescent="0.3"/>
    <row r="2" spans="2:8" x14ac:dyDescent="0.3">
      <c r="B2" s="11" t="s">
        <v>0</v>
      </c>
      <c r="C2" s="11" t="s">
        <v>27</v>
      </c>
      <c r="D2" s="12" t="s">
        <v>78</v>
      </c>
      <c r="E2" s="13" t="s">
        <v>76</v>
      </c>
      <c r="F2" s="14" t="s">
        <v>25</v>
      </c>
      <c r="G2" s="11" t="s">
        <v>26</v>
      </c>
      <c r="H2" s="11" t="s">
        <v>74</v>
      </c>
    </row>
    <row r="3" spans="2:8" x14ac:dyDescent="0.3">
      <c r="B3" s="3">
        <v>1</v>
      </c>
      <c r="C3" s="4">
        <v>43800</v>
      </c>
      <c r="D3" s="5" t="s">
        <v>46</v>
      </c>
      <c r="E3" s="3" t="s">
        <v>56</v>
      </c>
      <c r="F3" s="6">
        <v>1820</v>
      </c>
      <c r="G3" s="6">
        <v>100</v>
      </c>
      <c r="H3" s="6">
        <v>182000</v>
      </c>
    </row>
    <row r="4" spans="2:8" x14ac:dyDescent="0.3">
      <c r="B4" s="3">
        <v>2</v>
      </c>
      <c r="C4" s="4">
        <v>43800</v>
      </c>
      <c r="D4" s="5" t="s">
        <v>47</v>
      </c>
      <c r="E4" s="3" t="s">
        <v>57</v>
      </c>
      <c r="F4" s="6">
        <v>4940</v>
      </c>
      <c r="G4" s="6">
        <v>10</v>
      </c>
      <c r="H4" s="6">
        <v>49400</v>
      </c>
    </row>
    <row r="5" spans="2:8" x14ac:dyDescent="0.3">
      <c r="B5" s="3">
        <v>3</v>
      </c>
      <c r="C5" s="4">
        <v>43800</v>
      </c>
      <c r="D5" s="5" t="s">
        <v>48</v>
      </c>
      <c r="E5" s="3" t="s">
        <v>58</v>
      </c>
      <c r="F5" s="6">
        <v>3250</v>
      </c>
      <c r="G5" s="6">
        <v>15</v>
      </c>
      <c r="H5" s="6">
        <v>48750</v>
      </c>
    </row>
    <row r="6" spans="2:8" x14ac:dyDescent="0.3">
      <c r="B6" s="3">
        <v>4</v>
      </c>
      <c r="C6" s="4">
        <v>43801</v>
      </c>
      <c r="D6" s="5" t="s">
        <v>46</v>
      </c>
      <c r="E6" s="3" t="s">
        <v>28</v>
      </c>
      <c r="F6" s="6">
        <v>460</v>
      </c>
      <c r="G6" s="6">
        <v>30</v>
      </c>
      <c r="H6" s="6">
        <v>13800</v>
      </c>
    </row>
    <row r="7" spans="2:8" x14ac:dyDescent="0.3">
      <c r="B7" s="3">
        <v>5</v>
      </c>
      <c r="C7" s="4">
        <v>43801</v>
      </c>
      <c r="D7" s="5" t="s">
        <v>46</v>
      </c>
      <c r="E7" s="3" t="s">
        <v>59</v>
      </c>
      <c r="F7" s="6">
        <v>2540</v>
      </c>
      <c r="G7" s="6">
        <v>20</v>
      </c>
      <c r="H7" s="6">
        <v>50800</v>
      </c>
    </row>
    <row r="8" spans="2:8" x14ac:dyDescent="0.3">
      <c r="B8" s="3">
        <v>6</v>
      </c>
      <c r="C8" s="4">
        <v>43801</v>
      </c>
      <c r="D8" s="5" t="s">
        <v>49</v>
      </c>
      <c r="E8" s="3" t="s">
        <v>28</v>
      </c>
      <c r="F8" s="6">
        <v>460</v>
      </c>
      <c r="G8" s="6">
        <v>40</v>
      </c>
      <c r="H8" s="6">
        <v>18400</v>
      </c>
    </row>
    <row r="9" spans="2:8" x14ac:dyDescent="0.3">
      <c r="B9" s="3">
        <v>7</v>
      </c>
      <c r="C9" s="4">
        <v>43802</v>
      </c>
      <c r="D9" s="5" t="s">
        <v>48</v>
      </c>
      <c r="E9" s="3" t="s">
        <v>59</v>
      </c>
      <c r="F9" s="6">
        <v>2540</v>
      </c>
      <c r="G9" s="6">
        <v>40</v>
      </c>
      <c r="H9" s="6">
        <v>101600</v>
      </c>
    </row>
    <row r="10" spans="2:8" x14ac:dyDescent="0.3">
      <c r="B10" s="3">
        <v>8</v>
      </c>
      <c r="C10" s="4">
        <v>43802</v>
      </c>
      <c r="D10" s="5" t="s">
        <v>46</v>
      </c>
      <c r="E10" s="3" t="s">
        <v>75</v>
      </c>
      <c r="F10" s="6">
        <v>1300</v>
      </c>
      <c r="G10" s="6">
        <v>30</v>
      </c>
      <c r="H10" s="6">
        <v>39000</v>
      </c>
    </row>
    <row r="11" spans="2:8" x14ac:dyDescent="0.3">
      <c r="B11" s="3">
        <v>9</v>
      </c>
      <c r="C11" s="4">
        <v>43803</v>
      </c>
      <c r="D11" s="5" t="s">
        <v>47</v>
      </c>
      <c r="E11" s="3" t="s">
        <v>59</v>
      </c>
      <c r="F11" s="6">
        <v>2540</v>
      </c>
      <c r="G11" s="6">
        <v>10</v>
      </c>
      <c r="H11" s="6">
        <v>25400</v>
      </c>
    </row>
    <row r="12" spans="2:8" x14ac:dyDescent="0.3">
      <c r="B12" s="3">
        <v>10</v>
      </c>
      <c r="C12" s="4">
        <v>43803</v>
      </c>
      <c r="D12" s="5" t="s">
        <v>48</v>
      </c>
      <c r="E12" s="3" t="s">
        <v>60</v>
      </c>
      <c r="F12" s="6">
        <v>2800</v>
      </c>
      <c r="G12" s="6">
        <v>200</v>
      </c>
      <c r="H12" s="6">
        <v>560000</v>
      </c>
    </row>
    <row r="13" spans="2:8" x14ac:dyDescent="0.3">
      <c r="B13" s="3">
        <v>11</v>
      </c>
      <c r="C13" s="4">
        <v>43803</v>
      </c>
      <c r="D13" s="5" t="s">
        <v>50</v>
      </c>
      <c r="E13" s="3" t="s">
        <v>61</v>
      </c>
      <c r="F13" s="6">
        <v>5070</v>
      </c>
      <c r="G13" s="6">
        <v>17</v>
      </c>
      <c r="H13" s="6">
        <v>86190</v>
      </c>
    </row>
    <row r="14" spans="2:8" x14ac:dyDescent="0.3">
      <c r="B14" s="3">
        <v>12</v>
      </c>
      <c r="C14" s="4">
        <v>43803</v>
      </c>
      <c r="D14" s="5" t="s">
        <v>46</v>
      </c>
      <c r="E14" s="3" t="s">
        <v>62</v>
      </c>
      <c r="F14" s="6">
        <v>4530</v>
      </c>
      <c r="G14" s="6">
        <v>300</v>
      </c>
      <c r="H14" s="6">
        <v>1359000</v>
      </c>
    </row>
    <row r="15" spans="2:8" x14ac:dyDescent="0.3">
      <c r="B15" s="3">
        <v>13</v>
      </c>
      <c r="C15" s="4">
        <v>43806</v>
      </c>
      <c r="D15" s="5" t="s">
        <v>47</v>
      </c>
      <c r="E15" s="3" t="s">
        <v>59</v>
      </c>
      <c r="F15" s="6">
        <v>2540</v>
      </c>
      <c r="G15" s="6">
        <v>100</v>
      </c>
      <c r="H15" s="6">
        <v>254000</v>
      </c>
    </row>
    <row r="16" spans="2:8" x14ac:dyDescent="0.3">
      <c r="B16" s="3">
        <v>14</v>
      </c>
      <c r="C16" s="4">
        <v>43806</v>
      </c>
      <c r="D16" s="5" t="s">
        <v>48</v>
      </c>
      <c r="E16" s="3" t="s">
        <v>28</v>
      </c>
      <c r="F16" s="6">
        <v>460</v>
      </c>
      <c r="G16" s="6">
        <v>200</v>
      </c>
      <c r="H16" s="6">
        <v>92000</v>
      </c>
    </row>
    <row r="17" spans="2:8" x14ac:dyDescent="0.3">
      <c r="B17" s="3">
        <v>15</v>
      </c>
      <c r="C17" s="4">
        <v>43807</v>
      </c>
      <c r="D17" s="5" t="s">
        <v>51</v>
      </c>
      <c r="E17" s="3" t="s">
        <v>62</v>
      </c>
      <c r="F17" s="6">
        <v>4530</v>
      </c>
      <c r="G17" s="6">
        <v>300</v>
      </c>
      <c r="H17" s="6">
        <v>1359000</v>
      </c>
    </row>
    <row r="18" spans="2:8" x14ac:dyDescent="0.3">
      <c r="B18" s="3">
        <v>16</v>
      </c>
      <c r="C18" s="4">
        <v>43808</v>
      </c>
      <c r="D18" s="5" t="s">
        <v>47</v>
      </c>
      <c r="E18" s="3" t="s">
        <v>63</v>
      </c>
      <c r="F18" s="6">
        <v>1300</v>
      </c>
      <c r="G18" s="6">
        <v>10</v>
      </c>
      <c r="H18" s="6">
        <v>13000</v>
      </c>
    </row>
    <row r="19" spans="2:8" x14ac:dyDescent="0.3">
      <c r="B19" s="3">
        <v>17</v>
      </c>
      <c r="C19" s="4">
        <v>43809</v>
      </c>
      <c r="D19" s="5" t="s">
        <v>51</v>
      </c>
      <c r="E19" s="3" t="s">
        <v>64</v>
      </c>
      <c r="F19" s="6">
        <v>1300</v>
      </c>
      <c r="G19" s="6">
        <v>10</v>
      </c>
      <c r="H19" s="6">
        <v>13000</v>
      </c>
    </row>
    <row r="20" spans="2:8" x14ac:dyDescent="0.3">
      <c r="B20" s="3">
        <v>18</v>
      </c>
      <c r="C20" s="4">
        <v>43809</v>
      </c>
      <c r="D20" s="5" t="s">
        <v>51</v>
      </c>
      <c r="E20" s="3" t="s">
        <v>65</v>
      </c>
      <c r="F20" s="6">
        <v>3900</v>
      </c>
      <c r="G20" s="6">
        <v>20</v>
      </c>
      <c r="H20" s="6">
        <v>78000</v>
      </c>
    </row>
    <row r="21" spans="2:8" x14ac:dyDescent="0.3">
      <c r="B21" s="3">
        <v>19</v>
      </c>
      <c r="C21" s="4">
        <v>43809</v>
      </c>
      <c r="D21" s="5" t="s">
        <v>51</v>
      </c>
      <c r="E21" s="3" t="s">
        <v>58</v>
      </c>
      <c r="F21" s="6">
        <v>3250</v>
      </c>
      <c r="G21" s="6">
        <v>25</v>
      </c>
      <c r="H21" s="6">
        <v>81250</v>
      </c>
    </row>
    <row r="22" spans="2:8" x14ac:dyDescent="0.3">
      <c r="B22" s="3">
        <v>20</v>
      </c>
      <c r="C22" s="4">
        <v>43809</v>
      </c>
      <c r="D22" s="5" t="s">
        <v>46</v>
      </c>
      <c r="E22" s="3" t="s">
        <v>64</v>
      </c>
      <c r="F22" s="6">
        <v>1300</v>
      </c>
      <c r="G22" s="6">
        <v>90</v>
      </c>
      <c r="H22" s="6">
        <v>117000</v>
      </c>
    </row>
    <row r="23" spans="2:8" x14ac:dyDescent="0.3">
      <c r="B23" s="3">
        <v>21</v>
      </c>
      <c r="C23" s="4">
        <v>43810</v>
      </c>
      <c r="D23" s="5" t="s">
        <v>51</v>
      </c>
      <c r="E23" s="3" t="s">
        <v>60</v>
      </c>
      <c r="F23" s="6">
        <v>2800</v>
      </c>
      <c r="G23" s="6">
        <v>50</v>
      </c>
      <c r="H23" s="6">
        <v>140000</v>
      </c>
    </row>
    <row r="24" spans="2:8" x14ac:dyDescent="0.3">
      <c r="B24" s="3">
        <v>22</v>
      </c>
      <c r="C24" s="4">
        <v>43810</v>
      </c>
      <c r="D24" s="5" t="s">
        <v>52</v>
      </c>
      <c r="E24" s="3" t="s">
        <v>66</v>
      </c>
      <c r="F24" s="6">
        <v>2400</v>
      </c>
      <c r="G24" s="6">
        <v>100</v>
      </c>
      <c r="H24" s="6">
        <v>240000</v>
      </c>
    </row>
    <row r="25" spans="2:8" x14ac:dyDescent="0.3">
      <c r="B25" s="3">
        <v>23</v>
      </c>
      <c r="C25" s="4">
        <v>43810</v>
      </c>
      <c r="D25" s="5" t="s">
        <v>47</v>
      </c>
      <c r="E25" s="3" t="s">
        <v>56</v>
      </c>
      <c r="F25" s="6">
        <v>1820</v>
      </c>
      <c r="G25" s="6">
        <v>300</v>
      </c>
      <c r="H25" s="6">
        <v>546000</v>
      </c>
    </row>
    <row r="26" spans="2:8" x14ac:dyDescent="0.3">
      <c r="B26" s="3">
        <v>24</v>
      </c>
      <c r="C26" s="4">
        <v>43811</v>
      </c>
      <c r="D26" s="5" t="s">
        <v>47</v>
      </c>
      <c r="E26" s="3" t="s">
        <v>28</v>
      </c>
      <c r="F26" s="6">
        <v>460</v>
      </c>
      <c r="G26" s="6">
        <v>200</v>
      </c>
      <c r="H26" s="6">
        <v>92000</v>
      </c>
    </row>
    <row r="27" spans="2:8" x14ac:dyDescent="0.3">
      <c r="B27" s="3">
        <v>25</v>
      </c>
      <c r="C27" s="4">
        <v>43813</v>
      </c>
      <c r="D27" s="5" t="s">
        <v>48</v>
      </c>
      <c r="E27" s="3" t="s">
        <v>61</v>
      </c>
      <c r="F27" s="6">
        <v>5070</v>
      </c>
      <c r="G27" s="6">
        <v>25</v>
      </c>
      <c r="H27" s="6">
        <v>126750</v>
      </c>
    </row>
    <row r="28" spans="2:8" x14ac:dyDescent="0.3">
      <c r="B28" s="3">
        <v>26</v>
      </c>
      <c r="C28" s="4">
        <v>43813</v>
      </c>
      <c r="D28" s="5" t="s">
        <v>46</v>
      </c>
      <c r="E28" s="3" t="s">
        <v>67</v>
      </c>
      <c r="F28" s="6">
        <v>2340</v>
      </c>
      <c r="G28" s="6">
        <v>20</v>
      </c>
      <c r="H28" s="6">
        <v>46800</v>
      </c>
    </row>
    <row r="29" spans="2:8" x14ac:dyDescent="0.3">
      <c r="B29" s="3">
        <v>27</v>
      </c>
      <c r="C29" s="4">
        <v>43813</v>
      </c>
      <c r="D29" s="5" t="s">
        <v>49</v>
      </c>
      <c r="E29" s="3" t="s">
        <v>57</v>
      </c>
      <c r="F29" s="6">
        <v>4940</v>
      </c>
      <c r="G29" s="6">
        <v>30</v>
      </c>
      <c r="H29" s="6">
        <v>148200</v>
      </c>
    </row>
    <row r="30" spans="2:8" x14ac:dyDescent="0.3">
      <c r="B30" s="3">
        <v>28</v>
      </c>
      <c r="C30" s="4">
        <v>43814</v>
      </c>
      <c r="D30" s="5" t="s">
        <v>46</v>
      </c>
      <c r="E30" s="3" t="s">
        <v>68</v>
      </c>
      <c r="F30" s="6">
        <v>390</v>
      </c>
      <c r="G30" s="6">
        <v>25</v>
      </c>
      <c r="H30" s="6">
        <v>9750</v>
      </c>
    </row>
    <row r="31" spans="2:8" x14ac:dyDescent="0.3">
      <c r="B31" s="3">
        <v>29</v>
      </c>
      <c r="C31" s="4">
        <v>43815</v>
      </c>
      <c r="D31" s="5" t="s">
        <v>51</v>
      </c>
      <c r="E31" s="3" t="s">
        <v>56</v>
      </c>
      <c r="F31" s="6">
        <v>1820</v>
      </c>
      <c r="G31" s="6">
        <v>87</v>
      </c>
      <c r="H31" s="6">
        <v>158340</v>
      </c>
    </row>
    <row r="32" spans="2:8" x14ac:dyDescent="0.3">
      <c r="B32" s="3">
        <v>30</v>
      </c>
      <c r="C32" s="4">
        <v>43815</v>
      </c>
      <c r="D32" s="5" t="s">
        <v>49</v>
      </c>
      <c r="E32" s="3" t="s">
        <v>59</v>
      </c>
      <c r="F32" s="6">
        <v>2540</v>
      </c>
      <c r="G32" s="6">
        <v>10</v>
      </c>
      <c r="H32" s="6">
        <v>25400</v>
      </c>
    </row>
    <row r="33" spans="2:8" x14ac:dyDescent="0.3">
      <c r="B33" s="3">
        <v>31</v>
      </c>
      <c r="C33" s="4">
        <v>43815</v>
      </c>
      <c r="D33" s="5" t="s">
        <v>46</v>
      </c>
      <c r="E33" s="3" t="s">
        <v>59</v>
      </c>
      <c r="F33" s="6">
        <v>2540</v>
      </c>
      <c r="G33" s="6">
        <v>10</v>
      </c>
      <c r="H33" s="6">
        <v>25400</v>
      </c>
    </row>
    <row r="34" spans="2:8" x14ac:dyDescent="0.3">
      <c r="B34" s="3">
        <v>32</v>
      </c>
      <c r="C34" s="4">
        <v>43815</v>
      </c>
      <c r="D34" s="5" t="s">
        <v>51</v>
      </c>
      <c r="E34" s="3" t="s">
        <v>69</v>
      </c>
      <c r="F34" s="6">
        <v>1200</v>
      </c>
      <c r="G34" s="6">
        <v>40</v>
      </c>
      <c r="H34" s="6">
        <v>48000</v>
      </c>
    </row>
    <row r="35" spans="2:8" x14ac:dyDescent="0.3">
      <c r="B35" s="3">
        <v>33</v>
      </c>
      <c r="C35" s="4">
        <v>43816</v>
      </c>
      <c r="D35" s="5" t="s">
        <v>47</v>
      </c>
      <c r="E35" s="3" t="s">
        <v>28</v>
      </c>
      <c r="F35" s="6">
        <v>460</v>
      </c>
      <c r="G35" s="6">
        <v>200</v>
      </c>
      <c r="H35" s="6">
        <v>92000</v>
      </c>
    </row>
    <row r="36" spans="2:8" x14ac:dyDescent="0.3">
      <c r="B36" s="3">
        <v>34</v>
      </c>
      <c r="C36" s="4">
        <v>43816</v>
      </c>
      <c r="D36" s="5" t="s">
        <v>48</v>
      </c>
      <c r="E36" s="3" t="s">
        <v>59</v>
      </c>
      <c r="F36" s="6">
        <v>2540</v>
      </c>
      <c r="G36" s="6">
        <v>10</v>
      </c>
      <c r="H36" s="6">
        <v>25400</v>
      </c>
    </row>
    <row r="37" spans="2:8" x14ac:dyDescent="0.3">
      <c r="B37" s="3">
        <v>35</v>
      </c>
      <c r="C37" s="4">
        <v>43817</v>
      </c>
      <c r="D37" s="5" t="s">
        <v>53</v>
      </c>
      <c r="E37" s="3" t="s">
        <v>70</v>
      </c>
      <c r="F37" s="6">
        <v>2860</v>
      </c>
      <c r="G37" s="6">
        <v>40</v>
      </c>
      <c r="H37" s="6">
        <v>114400</v>
      </c>
    </row>
    <row r="38" spans="2:8" x14ac:dyDescent="0.3">
      <c r="B38" s="3">
        <v>36</v>
      </c>
      <c r="C38" s="4">
        <v>43820</v>
      </c>
      <c r="D38" s="5" t="s">
        <v>46</v>
      </c>
      <c r="E38" s="3" t="s">
        <v>58</v>
      </c>
      <c r="F38" s="6">
        <v>3250</v>
      </c>
      <c r="G38" s="6">
        <v>15</v>
      </c>
      <c r="H38" s="6">
        <v>48750</v>
      </c>
    </row>
    <row r="39" spans="2:8" x14ac:dyDescent="0.3">
      <c r="B39" s="3">
        <v>37</v>
      </c>
      <c r="C39" s="4">
        <v>43820</v>
      </c>
      <c r="D39" s="5" t="s">
        <v>48</v>
      </c>
      <c r="E39" s="3" t="s">
        <v>71</v>
      </c>
      <c r="F39" s="6">
        <v>1260</v>
      </c>
      <c r="G39" s="6">
        <v>50</v>
      </c>
      <c r="H39" s="6">
        <v>63000</v>
      </c>
    </row>
    <row r="40" spans="2:8" x14ac:dyDescent="0.3">
      <c r="B40" s="3">
        <v>38</v>
      </c>
      <c r="C40" s="4">
        <v>43821</v>
      </c>
      <c r="D40" s="5" t="s">
        <v>50</v>
      </c>
      <c r="E40" s="3" t="s">
        <v>60</v>
      </c>
      <c r="F40" s="6">
        <v>2800</v>
      </c>
      <c r="G40" s="6">
        <v>50</v>
      </c>
      <c r="H40" s="6">
        <v>140000</v>
      </c>
    </row>
    <row r="41" spans="2:8" x14ac:dyDescent="0.3">
      <c r="B41" s="3">
        <v>39</v>
      </c>
      <c r="C41" s="4">
        <v>43821</v>
      </c>
      <c r="D41" s="5" t="s">
        <v>46</v>
      </c>
      <c r="E41" s="3" t="s">
        <v>67</v>
      </c>
      <c r="F41" s="6">
        <v>2340</v>
      </c>
      <c r="G41" s="6">
        <v>20</v>
      </c>
      <c r="H41" s="6">
        <v>46800</v>
      </c>
    </row>
    <row r="42" spans="2:8" x14ac:dyDescent="0.3">
      <c r="B42" s="3">
        <v>40</v>
      </c>
      <c r="C42" s="4">
        <v>43821</v>
      </c>
      <c r="D42" s="5" t="s">
        <v>47</v>
      </c>
      <c r="E42" s="3" t="s">
        <v>59</v>
      </c>
      <c r="F42" s="6">
        <v>2540</v>
      </c>
      <c r="G42" s="6">
        <v>30</v>
      </c>
      <c r="H42" s="6">
        <v>76200</v>
      </c>
    </row>
    <row r="43" spans="2:8" x14ac:dyDescent="0.3">
      <c r="B43" s="3">
        <v>41</v>
      </c>
      <c r="C43" s="4">
        <v>43823</v>
      </c>
      <c r="D43" s="5" t="s">
        <v>48</v>
      </c>
      <c r="E43" s="3" t="s">
        <v>72</v>
      </c>
      <c r="F43" s="6">
        <v>5200</v>
      </c>
      <c r="G43" s="6">
        <v>20</v>
      </c>
      <c r="H43" s="6">
        <v>104000</v>
      </c>
    </row>
    <row r="44" spans="2:8" x14ac:dyDescent="0.3">
      <c r="B44" s="3">
        <v>42</v>
      </c>
      <c r="C44" s="4">
        <v>43823</v>
      </c>
      <c r="D44" s="5" t="s">
        <v>51</v>
      </c>
      <c r="E44" s="3" t="s">
        <v>57</v>
      </c>
      <c r="F44" s="6">
        <v>4940</v>
      </c>
      <c r="G44" s="6">
        <v>30</v>
      </c>
      <c r="H44" s="6">
        <v>148200</v>
      </c>
    </row>
    <row r="45" spans="2:8" x14ac:dyDescent="0.3">
      <c r="B45" s="3">
        <v>43</v>
      </c>
      <c r="C45" s="4">
        <v>43823</v>
      </c>
      <c r="D45" s="5" t="s">
        <v>51</v>
      </c>
      <c r="E45" s="3" t="s">
        <v>65</v>
      </c>
      <c r="F45" s="6">
        <v>3900</v>
      </c>
      <c r="G45" s="6">
        <v>15</v>
      </c>
      <c r="H45" s="6">
        <v>58500</v>
      </c>
    </row>
    <row r="46" spans="2:8" x14ac:dyDescent="0.3">
      <c r="B46" s="3">
        <v>44</v>
      </c>
      <c r="C46" s="4">
        <v>43824</v>
      </c>
      <c r="D46" s="5" t="s">
        <v>51</v>
      </c>
      <c r="E46" s="3" t="s">
        <v>61</v>
      </c>
      <c r="F46" s="6">
        <v>5070</v>
      </c>
      <c r="G46" s="6">
        <v>20</v>
      </c>
      <c r="H46" s="6">
        <v>101400</v>
      </c>
    </row>
    <row r="47" spans="2:8" x14ac:dyDescent="0.3">
      <c r="B47" s="3">
        <v>45</v>
      </c>
      <c r="C47" s="4">
        <v>43824</v>
      </c>
      <c r="D47" s="5" t="s">
        <v>47</v>
      </c>
      <c r="E47" s="3" t="s">
        <v>73</v>
      </c>
      <c r="F47" s="6">
        <v>5980</v>
      </c>
      <c r="G47" s="6">
        <v>40</v>
      </c>
      <c r="H47" s="6">
        <v>239200</v>
      </c>
    </row>
    <row r="48" spans="2:8" x14ac:dyDescent="0.3">
      <c r="B48" s="3">
        <v>46</v>
      </c>
      <c r="C48" s="4">
        <v>43824</v>
      </c>
      <c r="D48" s="5" t="s">
        <v>51</v>
      </c>
      <c r="E48" s="3" t="s">
        <v>62</v>
      </c>
      <c r="F48" s="6">
        <v>4530</v>
      </c>
      <c r="G48" s="6">
        <v>5</v>
      </c>
      <c r="H48" s="6">
        <v>22650</v>
      </c>
    </row>
    <row r="49" spans="2:8" x14ac:dyDescent="0.3">
      <c r="B49" s="3">
        <v>47</v>
      </c>
      <c r="C49" s="4">
        <v>43824</v>
      </c>
      <c r="D49" s="5" t="s">
        <v>54</v>
      </c>
      <c r="E49" s="3" t="s">
        <v>60</v>
      </c>
      <c r="F49" s="6">
        <v>2800</v>
      </c>
      <c r="G49" s="6">
        <v>10</v>
      </c>
      <c r="H49" s="6">
        <v>28000</v>
      </c>
    </row>
    <row r="50" spans="2:8" x14ac:dyDescent="0.3">
      <c r="B50" s="7">
        <v>48</v>
      </c>
      <c r="C50" s="8">
        <v>43824</v>
      </c>
      <c r="D50" s="9" t="s">
        <v>55</v>
      </c>
      <c r="E50" s="7" t="s">
        <v>59</v>
      </c>
      <c r="F50" s="10">
        <v>2540</v>
      </c>
      <c r="G50" s="10">
        <v>40</v>
      </c>
      <c r="H50" s="10">
        <v>101600</v>
      </c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單據</vt:lpstr>
      <vt:lpstr>明細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古川順平</dc:creator>
  <cp:lastModifiedBy>伯瑋 許</cp:lastModifiedBy>
  <dcterms:created xsi:type="dcterms:W3CDTF">2019-12-09T11:24:57Z</dcterms:created>
  <dcterms:modified xsi:type="dcterms:W3CDTF">2025-05-22T07:23:17Z</dcterms:modified>
</cp:coreProperties>
</file>