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8_Object\"/>
    </mc:Choice>
  </mc:AlternateContent>
  <xr:revisionPtr revIDLastSave="0" documentId="13_ncr:1_{88C87288-1846-43B9-B81A-C6AA147D4C95}" xr6:coauthVersionLast="47" xr6:coauthVersionMax="47" xr10:uidLastSave="{00000000-0000-0000-0000-000000000000}"/>
  <bookViews>
    <workbookView xWindow="22932" yWindow="-108" windowWidth="23256" windowHeight="12456" xr2:uid="{40EEE0D6-E4B3-4273-9E2D-A976D0E1BBC0}"/>
  </bookViews>
  <sheets>
    <sheet name="申請清單" sheetId="1" r:id="rId1"/>
    <sheet name="明細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3" i="1"/>
</calcChain>
</file>

<file path=xl/sharedStrings.xml><?xml version="1.0" encoding="utf-8"?>
<sst xmlns="http://schemas.openxmlformats.org/spreadsheetml/2006/main" count="73" uniqueCount="26">
  <si>
    <t>ID</t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</si>
  <si>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</si>
  <si>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</si>
  <si>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金額</t>
    <rPh sb="0" eb="2">
      <t>キンガク</t>
    </rPh>
    <phoneticPr fontId="2"/>
  </si>
  <si>
    <t>三田</t>
    <rPh sb="0" eb="2">
      <t>ミタ</t>
    </rPh>
    <phoneticPr fontId="2"/>
  </si>
  <si>
    <t>進藤</t>
    <rPh sb="0" eb="2">
      <t>シンドウ</t>
    </rPh>
    <phoneticPr fontId="2"/>
  </si>
  <si>
    <t>屋比久</t>
    <rPh sb="0" eb="3">
      <t>ヤビク</t>
    </rPh>
    <phoneticPr fontId="2"/>
  </si>
  <si>
    <t>畠</t>
    <rPh sb="0" eb="1">
      <t>ハタ</t>
    </rPh>
    <phoneticPr fontId="2"/>
  </si>
  <si>
    <t>摘要</t>
    <rPh sb="0" eb="2">
      <t>テキヨウ</t>
    </rPh>
    <phoneticPr fontId="2"/>
  </si>
  <si>
    <t>交際費</t>
    <rPh sb="0" eb="2">
      <t>コウサイ</t>
    </rPh>
    <rPh sb="2" eb="3">
      <t>ヒ</t>
    </rPh>
    <phoneticPr fontId="2"/>
  </si>
  <si>
    <t>T-13</t>
    <phoneticPr fontId="2"/>
  </si>
  <si>
    <t>T-14</t>
    <phoneticPr fontId="2"/>
  </si>
  <si>
    <t>T-15</t>
    <phoneticPr fontId="2"/>
  </si>
  <si>
    <t>T-16</t>
    <phoneticPr fontId="2"/>
  </si>
  <si>
    <t>O-08</t>
    <phoneticPr fontId="2"/>
  </si>
  <si>
    <t>O-09</t>
    <phoneticPr fontId="2"/>
  </si>
  <si>
    <t>O-10</t>
    <phoneticPr fontId="2"/>
  </si>
  <si>
    <t>三宮</t>
    <rPh sb="0" eb="2">
      <t>サンノミヤ</t>
    </rPh>
    <phoneticPr fontId="2"/>
  </si>
  <si>
    <t>佐藤</t>
    <rPh sb="0" eb="2">
      <t>サトウ</t>
    </rPh>
    <phoneticPr fontId="2"/>
  </si>
  <si>
    <t>萩</t>
    <rPh sb="0" eb="1">
      <t>ハギ</t>
    </rPh>
    <phoneticPr fontId="2"/>
  </si>
  <si>
    <t>日期</t>
    <rPh sb="0" eb="2">
      <t>ヒヅケ</t>
    </rPh>
    <phoneticPr fontId="2"/>
  </si>
  <si>
    <t>申請人</t>
    <rPh sb="0" eb="2">
      <t>タントウ</t>
    </rPh>
    <phoneticPr fontId="2"/>
  </si>
  <si>
    <t>分店</t>
    <rPh sb="0" eb="2">
      <t>テンポ</t>
    </rPh>
    <phoneticPr fontId="2"/>
  </si>
  <si>
    <t>計程車資</t>
    <rPh sb="0" eb="4">
      <t>ダイ</t>
    </rPh>
    <phoneticPr fontId="2"/>
  </si>
  <si>
    <t>汽油費</t>
    <rPh sb="0" eb="3">
      <t>ダイ</t>
    </rPh>
    <phoneticPr fontId="2"/>
  </si>
  <si>
    <t>火車票費</t>
    <rPh sb="0" eb="2">
      <t>デンシャ</t>
    </rPh>
    <rPh sb="2" eb="3">
      <t>ダイ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</si>
</sst>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  <border>
      <left/>
      <right/>
      <top/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38" fontId="0" fillId="0" borderId="3" xfId="1" applyFont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0" borderId="0" xfId="1" applyFont="1" applyAlignment="1">
      <alignment horizontal="right" vertical="center"/>
    </xf>
    <xf numFmtId="14" fontId="0" fillId="0" borderId="2" xfId="0" applyNumberFormat="1" applyBorder="1" applyAlignment="1">
      <alignment horizontal="right" vertical="center"/>
    </xf>
    <xf numFmtId="38" fontId="0" fillId="0" borderId="2" xfId="1" applyFont="1" applyBorder="1" applyAlignment="1">
      <alignment horizontal="right" vertical="center"/>
    </xf>
    <xf numFmtId="0" fontId="0" fillId="0" borderId="0" xfId="0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38" fontId="0" fillId="0" borderId="0" xfId="0" applyNumberFormat="1">
      <alignment vertical="center"/>
    </xf>
    <xf numFmtId="38" fontId="0" fillId="2" borderId="1" xfId="1" applyFont="1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4" xfId="0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 indent="1"/>
    </xf>
    <xf numFmtId="0" fontId="0" fillId="0" borderId="5" xfId="0" applyBorder="1">
      <alignment vertical="center"/>
    </xf>
    <xf numFmtId="14" fontId="0" fillId="0" borderId="5" xfId="0" applyNumberFormat="1" applyBorder="1" applyAlignment="1">
      <alignment horizontal="right" vertical="center"/>
    </xf>
    <xf numFmtId="0" fontId="0" fillId="0" borderId="5" xfId="0" applyBorder="1" applyAlignment="1">
      <alignment horizontal="left" vertical="center" indent="1"/>
    </xf>
    <xf numFmtId="38" fontId="0" fillId="0" borderId="5" xfId="1" applyFont="1" applyBorder="1" applyAlignment="1">
      <alignment horizontal="right" vertical="center"/>
    </xf>
  </cellXfs>
  <cellStyles count="2">
    <cellStyle name="一般" xfId="0" builtinId="0" customBuiltin="1"/>
    <cellStyle name="千分位[0]" xfId="1" builtinId="6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numFmt numFmtId="19" formatCode="yyyy/m/d"/>
      <alignment horizontal="right" vertical="center" textRotation="0" wrapText="0" indent="0" justifyLastLine="0" shrinkToFit="0" readingOrder="0"/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 outline="0">
        <top style="dotted">
          <color theme="9" tint="-0.24994659260841701"/>
        </top>
      </border>
    </dxf>
    <dxf>
      <border outline="0">
        <top style="medium">
          <color theme="9" tint="-0.24994659260841701"/>
        </top>
        <bottom style="medium">
          <color theme="9" tint="-0.24994659260841701"/>
        </bottom>
      </border>
    </dxf>
    <dxf>
      <border outline="0">
        <bottom style="dotted">
          <color theme="9" tint="-0.2499465926084170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2382FC-DA9A-4603-B5F1-4AE0A23AEA1B}" name="明細" displayName="明細" ref="B2:F19" totalsRowShown="0" headerRowBorderDxfId="7" tableBorderDxfId="6" totalsRowBorderDxfId="5">
  <autoFilter ref="B2:F19" xr:uid="{FA73F546-F82B-491B-9D9B-97259BF2BBED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3:F19">
    <sortCondition ref="B10"/>
  </sortState>
  <tableColumns count="5">
    <tableColumn id="1" xr3:uid="{53CF9FB8-2E41-48BA-98D7-902207829C9F}" name="ID" dataDxfId="4"/>
    <tableColumn id="2" xr3:uid="{181E55F4-0AAD-43BC-843E-2065C1BAD48C}" name="申請人" dataDxfId="3"/>
    <tableColumn id="3" xr3:uid="{6741DF48-D31A-4B7D-8C9F-AE4C657519FC}" name="日期" dataDxfId="2"/>
    <tableColumn id="4" xr3:uid="{EFF0820D-2954-48EA-99E4-8DD02542056D}" name="摘要" dataDxfId="1"/>
    <tableColumn id="5" xr3:uid="{A9B50276-0DBB-4EFE-9390-3ACF48EFEA6D}" name="金額" dataDxfId="0" dataCellStyle="千分位[0]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8661-01D6-406B-841B-99A37081533F}">
  <sheetPr codeName="Sheet1"/>
  <dimension ref="B1:D9"/>
  <sheetViews>
    <sheetView showGridLines="0" tabSelected="1" workbookViewId="0">
      <selection activeCell="J9" sqref="J9"/>
    </sheetView>
  </sheetViews>
  <sheetFormatPr defaultRowHeight="13.8" x14ac:dyDescent="0.3"/>
  <cols>
    <col min="1" max="1" width="2.19921875" customWidth="1"/>
    <col min="2" max="2" width="6.5" customWidth="1"/>
    <col min="3" max="3" width="5.5" customWidth="1"/>
    <col min="4" max="4" width="8.5" style="5" customWidth="1"/>
  </cols>
  <sheetData>
    <row r="1" spans="2:4" ht="15" customHeight="1" thickBot="1" x14ac:dyDescent="0.35"/>
    <row r="2" spans="2:4" x14ac:dyDescent="0.3">
      <c r="B2" s="4" t="s">
        <v>0</v>
      </c>
      <c r="C2" s="4" t="s">
        <v>22</v>
      </c>
      <c r="D2" s="11" t="s">
        <v>3</v>
      </c>
    </row>
    <row r="3" spans="2:4" x14ac:dyDescent="0.3">
      <c r="B3" s="1" t="s">
        <v>10</v>
      </c>
      <c r="C3" s="1" t="s">
        <v>1</v>
      </c>
      <c r="D3" s="7">
        <f>SUMIF(明細[[#All],[ID]],申請清單!B3,明細[[#All],[金額]])</f>
        <v>5470</v>
      </c>
    </row>
    <row r="4" spans="2:4" x14ac:dyDescent="0.3">
      <c r="B4" s="1" t="s">
        <v>14</v>
      </c>
      <c r="C4" s="1" t="s">
        <v>2</v>
      </c>
      <c r="D4" s="7">
        <f>SUMIF(明細[[#All],[ID]],申請清單!B4,明細[[#All],[金額]])</f>
        <v>4720</v>
      </c>
    </row>
    <row r="5" spans="2:4" x14ac:dyDescent="0.3">
      <c r="B5" s="1" t="s">
        <v>11</v>
      </c>
      <c r="C5" s="1" t="s">
        <v>1</v>
      </c>
      <c r="D5" s="7">
        <f>SUMIF(明細[[#All],[ID]],申請清單!B5,明細[[#All],[金額]])</f>
        <v>4110</v>
      </c>
    </row>
    <row r="6" spans="2:4" x14ac:dyDescent="0.3">
      <c r="B6" s="1" t="s">
        <v>12</v>
      </c>
      <c r="C6" s="1" t="s">
        <v>1</v>
      </c>
      <c r="D6" s="7">
        <f>SUMIF(明細[[#All],[ID]],申請清單!B6,明細[[#All],[金額]])</f>
        <v>1820</v>
      </c>
    </row>
    <row r="7" spans="2:4" x14ac:dyDescent="0.3">
      <c r="B7" s="1" t="s">
        <v>15</v>
      </c>
      <c r="C7" s="1" t="s">
        <v>2</v>
      </c>
      <c r="D7" s="7">
        <f>SUMIF(明細[[#All],[ID]],申請清單!B7,明細[[#All],[金額]])</f>
        <v>4580</v>
      </c>
    </row>
    <row r="8" spans="2:4" x14ac:dyDescent="0.3">
      <c r="B8" s="1" t="s">
        <v>13</v>
      </c>
      <c r="C8" s="1" t="s">
        <v>1</v>
      </c>
      <c r="D8" s="7">
        <f>SUMIF(明細[[#All],[ID]],申請清單!B8,明細[[#All],[金額]])</f>
        <v>13820</v>
      </c>
    </row>
    <row r="9" spans="2:4" ht="14.4" thickBot="1" x14ac:dyDescent="0.35">
      <c r="B9" s="2" t="s">
        <v>16</v>
      </c>
      <c r="C9" s="2" t="s">
        <v>2</v>
      </c>
      <c r="D9" s="3">
        <f>SUMIF(明細[[#All],[ID]],申請清單!B9,明細[[#All],[金額]])</f>
        <v>8500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1E77-63AF-495D-905E-E54EB55FD613}">
  <sheetPr codeName="Sheet2"/>
  <dimension ref="B1:G19"/>
  <sheetViews>
    <sheetView showGridLines="0" workbookViewId="0">
      <pane xSplit="1" ySplit="2" topLeftCell="B13" activePane="bottomRight" state="frozen"/>
      <selection pane="topRight" activeCell="B1" sqref="B1"/>
      <selection pane="bottomLeft" activeCell="A3" sqref="A3"/>
      <selection pane="bottomRight" activeCell="B13" sqref="B13"/>
    </sheetView>
  </sheetViews>
  <sheetFormatPr defaultRowHeight="13.8" x14ac:dyDescent="0.3"/>
  <cols>
    <col min="1" max="1" width="2.19921875" customWidth="1"/>
    <col min="2" max="2" width="6.19921875" customWidth="1"/>
    <col min="4" max="4" width="8.8984375" customWidth="1"/>
    <col min="5" max="5" width="14.59765625" style="8" customWidth="1"/>
    <col min="6" max="6" width="8.5" customWidth="1"/>
  </cols>
  <sheetData>
    <row r="1" spans="2:7" ht="15" customHeight="1" x14ac:dyDescent="0.3"/>
    <row r="2" spans="2:7" x14ac:dyDescent="0.3">
      <c r="B2" s="12" t="s">
        <v>0</v>
      </c>
      <c r="C2" s="13" t="s">
        <v>21</v>
      </c>
      <c r="D2" s="14" t="s">
        <v>20</v>
      </c>
      <c r="E2" s="15" t="s">
        <v>8</v>
      </c>
      <c r="F2" s="14" t="s">
        <v>3</v>
      </c>
    </row>
    <row r="3" spans="2:7" x14ac:dyDescent="0.3">
      <c r="B3" s="1" t="s">
        <v>10</v>
      </c>
      <c r="C3" s="1" t="s">
        <v>4</v>
      </c>
      <c r="D3" s="6">
        <v>43891</v>
      </c>
      <c r="E3" s="9" t="s">
        <v>25</v>
      </c>
      <c r="F3" s="7">
        <v>420</v>
      </c>
    </row>
    <row r="4" spans="2:7" x14ac:dyDescent="0.3">
      <c r="B4" s="1" t="s">
        <v>10</v>
      </c>
      <c r="C4" s="1" t="s">
        <v>4</v>
      </c>
      <c r="D4" s="6">
        <v>43891</v>
      </c>
      <c r="E4" s="9" t="s">
        <v>23</v>
      </c>
      <c r="F4" s="7">
        <v>850</v>
      </c>
    </row>
    <row r="5" spans="2:7" x14ac:dyDescent="0.3">
      <c r="B5" s="1" t="s">
        <v>10</v>
      </c>
      <c r="C5" s="1" t="s">
        <v>4</v>
      </c>
      <c r="D5" s="6">
        <v>43891</v>
      </c>
      <c r="E5" s="9" t="s">
        <v>9</v>
      </c>
      <c r="F5" s="7">
        <v>4200</v>
      </c>
      <c r="G5" s="10"/>
    </row>
    <row r="6" spans="2:7" x14ac:dyDescent="0.3">
      <c r="B6" s="1" t="s">
        <v>14</v>
      </c>
      <c r="C6" s="1" t="s">
        <v>17</v>
      </c>
      <c r="D6" s="6">
        <v>43891</v>
      </c>
      <c r="E6" s="9" t="s">
        <v>25</v>
      </c>
      <c r="F6" s="7">
        <v>820</v>
      </c>
    </row>
    <row r="7" spans="2:7" x14ac:dyDescent="0.3">
      <c r="B7" s="1" t="s">
        <v>14</v>
      </c>
      <c r="C7" s="1" t="s">
        <v>17</v>
      </c>
      <c r="D7" s="6">
        <v>43891</v>
      </c>
      <c r="E7" s="9" t="s">
        <v>23</v>
      </c>
      <c r="F7" s="7">
        <v>1200</v>
      </c>
      <c r="G7" s="10"/>
    </row>
    <row r="8" spans="2:7" x14ac:dyDescent="0.3">
      <c r="B8" s="1" t="s">
        <v>14</v>
      </c>
      <c r="C8" s="1" t="s">
        <v>17</v>
      </c>
      <c r="D8" s="6">
        <v>43891</v>
      </c>
      <c r="E8" s="9" t="s">
        <v>9</v>
      </c>
      <c r="F8" s="7">
        <v>2700</v>
      </c>
    </row>
    <row r="9" spans="2:7" x14ac:dyDescent="0.3">
      <c r="B9" s="1" t="s">
        <v>11</v>
      </c>
      <c r="C9" s="1" t="s">
        <v>5</v>
      </c>
      <c r="D9" s="6">
        <v>43892</v>
      </c>
      <c r="E9" s="9" t="s">
        <v>25</v>
      </c>
      <c r="F9" s="7">
        <v>610</v>
      </c>
    </row>
    <row r="10" spans="2:7" x14ac:dyDescent="0.3">
      <c r="B10" s="1" t="s">
        <v>11</v>
      </c>
      <c r="C10" s="1" t="s">
        <v>5</v>
      </c>
      <c r="D10" s="6">
        <v>43892</v>
      </c>
      <c r="E10" s="9" t="s">
        <v>24</v>
      </c>
      <c r="F10" s="7">
        <v>3500</v>
      </c>
    </row>
    <row r="11" spans="2:7" x14ac:dyDescent="0.3">
      <c r="B11" s="1" t="s">
        <v>15</v>
      </c>
      <c r="C11" s="1" t="s">
        <v>18</v>
      </c>
      <c r="D11" s="6">
        <v>43892</v>
      </c>
      <c r="E11" s="9" t="s">
        <v>25</v>
      </c>
      <c r="F11" s="7">
        <v>280</v>
      </c>
    </row>
    <row r="12" spans="2:7" x14ac:dyDescent="0.3">
      <c r="B12" s="16" t="s">
        <v>15</v>
      </c>
      <c r="C12" s="16" t="s">
        <v>18</v>
      </c>
      <c r="D12" s="17">
        <v>43892</v>
      </c>
      <c r="E12" s="18" t="s">
        <v>24</v>
      </c>
      <c r="F12" s="19">
        <v>4300</v>
      </c>
      <c r="G12" s="10"/>
    </row>
    <row r="13" spans="2:7" x14ac:dyDescent="0.3">
      <c r="B13" s="1" t="s">
        <v>12</v>
      </c>
      <c r="C13" s="1" t="s">
        <v>6</v>
      </c>
      <c r="D13" s="6">
        <v>43895</v>
      </c>
      <c r="E13" s="9" t="s">
        <v>25</v>
      </c>
      <c r="F13" s="7">
        <v>420</v>
      </c>
    </row>
    <row r="14" spans="2:7" x14ac:dyDescent="0.3">
      <c r="B14" s="1" t="s">
        <v>12</v>
      </c>
      <c r="C14" s="1" t="s">
        <v>6</v>
      </c>
      <c r="D14" s="6">
        <v>43895</v>
      </c>
      <c r="E14" s="9" t="s">
        <v>23</v>
      </c>
      <c r="F14" s="7">
        <v>1400</v>
      </c>
    </row>
    <row r="15" spans="2:7" x14ac:dyDescent="0.3">
      <c r="B15" s="1" t="s">
        <v>13</v>
      </c>
      <c r="C15" s="1" t="s">
        <v>7</v>
      </c>
      <c r="D15" s="6">
        <v>43895</v>
      </c>
      <c r="E15" s="9" t="s">
        <v>25</v>
      </c>
      <c r="F15" s="7">
        <v>420</v>
      </c>
    </row>
    <row r="16" spans="2:7" x14ac:dyDescent="0.3">
      <c r="B16" s="1" t="s">
        <v>13</v>
      </c>
      <c r="C16" s="1" t="s">
        <v>7</v>
      </c>
      <c r="D16" s="6">
        <v>43895</v>
      </c>
      <c r="E16" s="9" t="s">
        <v>23</v>
      </c>
      <c r="F16" s="7">
        <v>1400</v>
      </c>
    </row>
    <row r="17" spans="2:6" x14ac:dyDescent="0.3">
      <c r="B17" s="1" t="s">
        <v>13</v>
      </c>
      <c r="C17" s="1" t="s">
        <v>7</v>
      </c>
      <c r="D17" s="6">
        <v>43895</v>
      </c>
      <c r="E17" s="9" t="s">
        <v>9</v>
      </c>
      <c r="F17" s="7">
        <v>12000</v>
      </c>
    </row>
    <row r="18" spans="2:6" x14ac:dyDescent="0.3">
      <c r="B18" s="1" t="s">
        <v>16</v>
      </c>
      <c r="C18" s="1" t="s">
        <v>19</v>
      </c>
      <c r="D18" s="6">
        <v>43895</v>
      </c>
      <c r="E18" s="9" t="s">
        <v>23</v>
      </c>
      <c r="F18" s="7">
        <v>2800</v>
      </c>
    </row>
    <row r="19" spans="2:6" x14ac:dyDescent="0.3">
      <c r="B19" s="16" t="s">
        <v>16</v>
      </c>
      <c r="C19" s="16" t="s">
        <v>19</v>
      </c>
      <c r="D19" s="17">
        <v>43895</v>
      </c>
      <c r="E19" s="18" t="s">
        <v>9</v>
      </c>
      <c r="F19" s="19">
        <v>5700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申請清單</vt:lpstr>
      <vt:lpstr>明細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2019-11-27T21:42:39Z</dcterms:created>
  <dcterms:modified xsi:type="dcterms:W3CDTF">2025-05-19T07:40:06Z</dcterms:modified>
</cp:coreProperties>
</file>